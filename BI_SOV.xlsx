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ijie Zhi\Documents\Paradox Interactive\Hearts of Iron IV\mod\BIX\tools\"/>
    </mc:Choice>
  </mc:AlternateContent>
  <bookViews>
    <workbookView windowWidth="24750" windowHeight="12200" activeTab="4"/>
  </bookViews>
  <sheets>
    <sheet name="42.6.1" sheetId="1" r:id="rId1"/>
    <sheet name="41.6.11" sheetId="2" r:id="rId2"/>
    <sheet name="36.9.1" sheetId="3" r:id="rId3"/>
    <sheet name="飞机改装" sheetId="4" r:id="rId4"/>
    <sheet name="SOV战斗机数据" sheetId="5" r:id="rId5"/>
  </sheets>
  <definedNames>
    <definedName name="_xlnm._FilterDatabase" localSheetId="4" hidden="1">SOV战斗机数据!$A$1:$P$35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<sst xmlns="http://schemas.openxmlformats.org/spreadsheetml/2006/main" count="315" uniqueCount="146">
  <si>
    <t>Equipment</t>
  </si>
  <si>
    <t>Cost</t>
  </si>
  <si>
    <t>Buff</t>
  </si>
  <si>
    <t>Stability</t>
  </si>
  <si>
    <t>Total Nums</t>
  </si>
  <si>
    <t>Total Vals</t>
  </si>
  <si>
    <t>Exist</t>
  </si>
  <si>
    <t>实际比例</t>
  </si>
  <si>
    <t>Need</t>
  </si>
  <si>
    <t>Value</t>
  </si>
  <si>
    <t>Needed Arms</t>
  </si>
  <si>
    <t>Floor</t>
  </si>
  <si>
    <t>Round</t>
  </si>
  <si>
    <t>Ceil</t>
  </si>
  <si>
    <t>Amount</t>
  </si>
  <si>
    <t>Coef</t>
  </si>
  <si>
    <t>Total Arms</t>
  </si>
  <si>
    <t>Division</t>
  </si>
  <si>
    <t>步兵装备</t>
  </si>
  <si>
    <t>主力师</t>
  </si>
  <si>
    <t>野战制服</t>
  </si>
  <si>
    <t>手持式反坦克装备</t>
  </si>
  <si>
    <t>组织度</t>
  </si>
  <si>
    <t>机枪</t>
  </si>
  <si>
    <t>迫击炮</t>
  </si>
  <si>
    <t>HP</t>
  </si>
  <si>
    <t>步兵炮</t>
  </si>
  <si>
    <t>重型火炮</t>
  </si>
  <si>
    <t>轻型火炮</t>
  </si>
  <si>
    <t>预计金盾比例</t>
  </si>
  <si>
    <t>重型防空炮</t>
  </si>
  <si>
    <t>中型火炮</t>
  </si>
  <si>
    <t>无线电设备</t>
  </si>
  <si>
    <t>预计损失</t>
  </si>
  <si>
    <t>支援装备</t>
  </si>
  <si>
    <t>侦查装备</t>
  </si>
  <si>
    <t>摩托车</t>
  </si>
  <si>
    <t>轻型汽车</t>
  </si>
  <si>
    <t>运输卡车</t>
  </si>
  <si>
    <t>驮马牵引车</t>
  </si>
  <si>
    <t>火炮牵引车</t>
  </si>
  <si>
    <t>骑兵装备</t>
  </si>
  <si>
    <t>机械化装备</t>
  </si>
  <si>
    <t>中型坦克</t>
  </si>
  <si>
    <t>步兵师</t>
  </si>
  <si>
    <t>战斗状态</t>
  </si>
  <si>
    <t>可靠性系数</t>
  </si>
  <si>
    <t>伤亡比例</t>
  </si>
  <si>
    <t>预备比例</t>
  </si>
  <si>
    <t>防御</t>
  </si>
  <si>
    <t>进攻</t>
  </si>
  <si>
    <t>Divisions</t>
  </si>
  <si>
    <t>Total</t>
  </si>
  <si>
    <t>Needed Value</t>
  </si>
  <si>
    <t>重型运输卡车</t>
  </si>
  <si>
    <t>骑兵坦克</t>
  </si>
  <si>
    <t>飞机改装</t>
  </si>
  <si>
    <t>数值加成</t>
  </si>
  <si>
    <t>系数加成</t>
  </si>
  <si>
    <t>类型</t>
  </si>
  <si>
    <t>改装类型</t>
  </si>
  <si>
    <t>半径</t>
  </si>
  <si>
    <t>攻击</t>
  </si>
  <si>
    <t>机动</t>
  </si>
  <si>
    <t>对地</t>
  </si>
  <si>
    <t>速度</t>
  </si>
  <si>
    <t>可靠性</t>
  </si>
  <si>
    <t>造价</t>
  </si>
  <si>
    <t>对空</t>
  </si>
  <si>
    <t>可靠</t>
  </si>
  <si>
    <t>航程</t>
  </si>
  <si>
    <t>对海</t>
  </si>
  <si>
    <t>瞄准</t>
  </si>
  <si>
    <t>对空（近）</t>
  </si>
  <si>
    <t>对空（远）</t>
  </si>
  <si>
    <t>侦察/运输</t>
  </si>
  <si>
    <t>对地（近）</t>
  </si>
  <si>
    <t>对地（远）</t>
  </si>
  <si>
    <t>对海（近）</t>
  </si>
  <si>
    <t>对海（远）</t>
  </si>
  <si>
    <t>基础+制造商</t>
  </si>
  <si>
    <t>加成次数</t>
  </si>
  <si>
    <t>增大弹药容量</t>
  </si>
  <si>
    <t>升级发动机</t>
  </si>
  <si>
    <t>提高燃料容量</t>
  </si>
  <si>
    <t>提高维护水平</t>
  </si>
  <si>
    <t>加强反舰武器（naval）</t>
  </si>
  <si>
    <t>改良火箭弹和炸弹</t>
  </si>
  <si>
    <t>增设副油箱</t>
  </si>
  <si>
    <t>增强对空火力</t>
  </si>
  <si>
    <t>空对空火箭弹</t>
  </si>
  <si>
    <t>改良舱盖</t>
  </si>
  <si>
    <t>改良自卫炮塔</t>
  </si>
  <si>
    <t>改良机身</t>
  </si>
  <si>
    <t>增强航炮对地能力</t>
  </si>
  <si>
    <t>加强反舰武器（cas）</t>
  </si>
  <si>
    <t>我方数值</t>
  </si>
  <si>
    <t>GER飞机换代</t>
  </si>
  <si>
    <t>性能分数</t>
  </si>
  <si>
    <t>敌方数值</t>
  </si>
  <si>
    <t>Bf 109 F-4 (41、42)</t>
  </si>
  <si>
    <t>航程上限</t>
  </si>
  <si>
    <t>Bf 109 G (43)</t>
  </si>
  <si>
    <t>Bf 109 G-14 (44)</t>
  </si>
  <si>
    <t>名称</t>
  </si>
  <si>
    <t>年份</t>
  </si>
  <si>
    <t>飞机装配</t>
  </si>
  <si>
    <t>发动机装配</t>
  </si>
  <si>
    <t>性能分数（41）</t>
  </si>
  <si>
    <t>性能分数（42）</t>
  </si>
  <si>
    <t>性能分数（43）</t>
  </si>
  <si>
    <t>性能分数（44）</t>
  </si>
  <si>
    <t>Mikoyan-Gurevich 9</t>
  </si>
  <si>
    <t>Yakovlev 3P</t>
  </si>
  <si>
    <t>Yakovlev 9P</t>
  </si>
  <si>
    <t>Lavochkin 9</t>
  </si>
  <si>
    <t>Yakovlev 9U</t>
  </si>
  <si>
    <t>Lavochkin 7</t>
  </si>
  <si>
    <t>Mikoyan-Gurevich I-211</t>
  </si>
  <si>
    <t>Polikarpov I-185</t>
  </si>
  <si>
    <t>Yakovlev 3</t>
  </si>
  <si>
    <t>Lavochkin 5FN</t>
  </si>
  <si>
    <t>Yakovlev 9T</t>
  </si>
  <si>
    <t>Lavochkin-Gorbunov-Gudkov 3 Series 66</t>
  </si>
  <si>
    <t>Yakovlev 9</t>
  </si>
  <si>
    <t>Lavochkin 5</t>
  </si>
  <si>
    <t>Mikoyan-Gurevich 3</t>
  </si>
  <si>
    <t>Polikarpov I-180-5</t>
  </si>
  <si>
    <t>Yakovlev 7</t>
  </si>
  <si>
    <t>Lavochkin-Gorbunov-Gudkov 3</t>
  </si>
  <si>
    <t>Polikarpov I-180S</t>
  </si>
  <si>
    <t>Mikoyan-Gurevich 1</t>
  </si>
  <si>
    <t>Yakovlev 1</t>
  </si>
  <si>
    <t>Lavochkin-Gorbunov-Gudkov 1</t>
  </si>
  <si>
    <t>Polikarpov I-16 Type 29</t>
  </si>
  <si>
    <t>Polikarpov I-153</t>
  </si>
  <si>
    <t>Polikarpov I-16 Type 24</t>
  </si>
  <si>
    <t>Polikarpov I-15bis</t>
  </si>
  <si>
    <t>Polikarpov I-16 Type 10</t>
  </si>
  <si>
    <t>Polikarpov I-15 (M-25)</t>
  </si>
  <si>
    <t>Polikarpov I-16 Type 5</t>
  </si>
  <si>
    <t>Kochyerigin DI-6</t>
  </si>
  <si>
    <t>Polikarpov I-15</t>
  </si>
  <si>
    <t>Polikarpov I-16 Type 4</t>
  </si>
  <si>
    <t>Mikoyan-Gurevich I-7</t>
  </si>
  <si>
    <t>Polikarpov I-5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</si>
</sst>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#"/>
    <numFmt numFmtId="177" formatCode="0.000_ "/>
    <numFmt numFmtId="178" formatCode="0.##"/>
    <numFmt numFmtId="179" formatCode="#,##0.0"/>
    <numFmt numFmtId="180" formatCode="0.####"/>
    <numFmt numFmtId="181" formatCode="0.00_ "/>
  </numFmts>
  <fonts count="19">
    <font>
      <sz val="11"/>
      <color theme="1"/>
      <name val="宋体"/>
      <charset val="134"/>
    </font>
    <font>
      <sz val="11"/>
      <color theme="0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7A1E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192FB"/>
        <bgColor indexed="64"/>
      </patternFill>
    </fill>
    <fill>
      <patternFill patternType="solid">
        <fgColor theme="6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19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20" borderId="4">
      <alignment vertical="center"/>
    </xf>
    <xf numFmtId="0" fontId="11" fillId="21" borderId="5">
      <alignment vertical="center"/>
    </xf>
    <xf numFmtId="0" fontId="12" fillId="21" borderId="4">
      <alignment vertical="center"/>
    </xf>
    <xf numFmtId="0" fontId="13" fillId="22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23" borderId="0">
      <alignment vertical="center"/>
    </xf>
    <xf numFmtId="0" fontId="17" fillId="24" borderId="0">
      <alignment vertical="center"/>
    </xf>
    <xf numFmtId="0" fontId="18" fillId="25" borderId="0">
      <alignment vertical="center"/>
    </xf>
    <xf numFmtId="0" fontId="1" fillId="9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1" fillId="28" borderId="0">
      <alignment vertical="center"/>
    </xf>
    <xf numFmtId="0" fontId="1" fillId="10" borderId="0">
      <alignment vertical="center"/>
    </xf>
    <xf numFmtId="0" fontId="0" fillId="29" borderId="0">
      <alignment vertical="center"/>
    </xf>
    <xf numFmtId="0" fontId="0" fillId="30" borderId="0">
      <alignment vertical="center"/>
    </xf>
    <xf numFmtId="0" fontId="1" fillId="31" borderId="0">
      <alignment vertical="center"/>
    </xf>
    <xf numFmtId="0" fontId="1" fillId="32" borderId="0">
      <alignment vertical="center"/>
    </xf>
    <xf numFmtId="0" fontId="0" fillId="33" borderId="0">
      <alignment vertical="center"/>
    </xf>
    <xf numFmtId="0" fontId="0" fillId="34" borderId="0">
      <alignment vertical="center"/>
    </xf>
    <xf numFmtId="0" fontId="1" fillId="35" borderId="0">
      <alignment vertical="center"/>
    </xf>
    <xf numFmtId="0" fontId="1" fillId="36" borderId="0">
      <alignment vertical="center"/>
    </xf>
    <xf numFmtId="0" fontId="0" fillId="37" borderId="0">
      <alignment vertical="center"/>
    </xf>
    <xf numFmtId="0" fontId="0" fillId="38" borderId="0">
      <alignment vertical="center"/>
    </xf>
    <xf numFmtId="0" fontId="1" fillId="39" borderId="0">
      <alignment vertical="center"/>
    </xf>
    <xf numFmtId="0" fontId="1" fillId="12" borderId="0">
      <alignment vertical="center"/>
    </xf>
    <xf numFmtId="0" fontId="0" fillId="40" borderId="0">
      <alignment vertical="center"/>
    </xf>
    <xf numFmtId="0" fontId="0" fillId="41" borderId="0">
      <alignment vertical="center"/>
    </xf>
    <xf numFmtId="0" fontId="1" fillId="42" borderId="0">
      <alignment vertical="center"/>
    </xf>
    <xf numFmtId="0" fontId="1" fillId="11" borderId="0">
      <alignment vertical="center"/>
    </xf>
    <xf numFmtId="0" fontId="0" fillId="43" borderId="0">
      <alignment vertical="center"/>
    </xf>
    <xf numFmtId="0" fontId="0" fillId="44" borderId="0">
      <alignment vertical="center"/>
    </xf>
    <xf numFmtId="0" fontId="1" fillId="45" borderId="0">
      <alignment vertical="center"/>
    </xf>
  </cellStyleXfs>
  <cellXfs count="42">
    <xf numFmtId="0" fontId="0" fillId="0" borderId="0" xfId="0" applyAlignment="1">
      <alignment vertical="center"/>
    </xf>
    <xf numFmtId="0" fontId="0" fillId="0" borderId="0" xfId="0" applyAlignment="1"/>
    <xf numFmtId="0" fontId="0" fillId="2" borderId="0" xfId="0" applyFill="1" applyAlignment="1">
      <alignment vertical="center"/>
    </xf>
    <xf numFmtId="176" fontId="0" fillId="3" borderId="0" xfId="0" applyNumberFormat="1" applyFill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vertical="center"/>
    </xf>
    <xf numFmtId="177" fontId="0" fillId="4" borderId="0" xfId="0" applyNumberFormat="1" applyFill="1" applyAlignment="1">
      <alignment vertical="center"/>
    </xf>
    <xf numFmtId="177" fontId="0" fillId="0" borderId="0" xfId="0" applyNumberFormat="1" applyAlignment="1">
      <alignment vertical="center"/>
    </xf>
    <xf numFmtId="177" fontId="0" fillId="5" borderId="0" xfId="0" applyNumberFormat="1" applyFill="1" applyAlignment="1">
      <alignment vertical="center"/>
    </xf>
    <xf numFmtId="178" fontId="0" fillId="0" borderId="0" xfId="0" applyNumberFormat="1" applyAlignment="1">
      <alignment vertical="center"/>
    </xf>
    <xf numFmtId="179" fontId="0" fillId="2" borderId="0" xfId="0" applyNumberFormat="1" applyFill="1" applyAlignment="1">
      <alignment vertical="center"/>
    </xf>
    <xf numFmtId="180" fontId="0" fillId="0" borderId="0" xfId="0" applyNumberFormat="1" applyAlignment="1">
      <alignment vertical="center"/>
    </xf>
    <xf numFmtId="180" fontId="0" fillId="6" borderId="0" xfId="0" applyNumberFormat="1" applyFill="1" applyAlignment="1">
      <alignment vertical="center"/>
    </xf>
    <xf numFmtId="0" fontId="0" fillId="0" borderId="0" xfId="0" applyAlignment="1">
      <alignment horizontal="left" vertical="center"/>
    </xf>
    <xf numFmtId="1" fontId="0" fillId="7" borderId="0" xfId="0" applyNumberFormat="1" applyFill="1" applyAlignment="1">
      <alignment vertical="center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0" fillId="11" borderId="0" xfId="0" applyFill="1" applyAlignment="1">
      <alignment vertical="center"/>
    </xf>
    <xf numFmtId="0" fontId="0" fillId="12" borderId="0" xfId="0" applyFill="1" applyAlignment="1">
      <alignment vertical="center"/>
    </xf>
    <xf numFmtId="181" fontId="0" fillId="8" borderId="0" xfId="0" applyNumberFormat="1" applyFill="1" applyAlignment="1">
      <alignment vertical="center"/>
    </xf>
    <xf numFmtId="177" fontId="0" fillId="11" borderId="0" xfId="0" applyNumberFormat="1" applyFill="1" applyAlignment="1">
      <alignment vertical="center"/>
    </xf>
    <xf numFmtId="0" fontId="0" fillId="8" borderId="0" xfId="0" applyFill="1" applyAlignment="1">
      <alignment horizontal="center" vertical="center"/>
    </xf>
    <xf numFmtId="177" fontId="0" fillId="9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9" fontId="0" fillId="0" borderId="0" xfId="3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81" fontId="0" fillId="8" borderId="0" xfId="0" applyNumberFormat="1" applyFill="1" applyAlignment="1">
      <alignment horizontal="center" vertical="center"/>
    </xf>
    <xf numFmtId="177" fontId="1" fillId="16" borderId="0" xfId="0" applyNumberFormat="1" applyFont="1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18" borderId="0" xfId="3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4"/>
  <sheetViews>
    <sheetView workbookViewId="0">
      <selection activeCell="A1" sqref="A1"/>
    </sheetView>
  </sheetViews>
  <sheetFormatPr defaultColWidth="8.72727272727273" defaultRowHeight="14"/>
  <cols>
    <col min="1" max="1" width="18.5454545454545" style="5" customWidth="1"/>
    <col min="2" max="3" width="7.54545454545455" style="5" customWidth="1"/>
    <col min="4" max="4" width="11.8181818181818" style="5" customWidth="1"/>
    <col min="5" max="6" width="12.8181818181818" style="5" customWidth="1"/>
    <col min="7" max="7" width="7.54545454545455" style="5" customWidth="1"/>
    <col min="8" max="8" width="9.54545454545454" style="5" customWidth="1"/>
    <col min="9" max="9" width="12.8181818181818" style="5" customWidth="1"/>
    <col min="10" max="10" width="14" style="5" customWidth="1"/>
    <col min="11" max="11" width="12.9090909090909" style="5" customWidth="1"/>
    <col min="12" max="13" width="6.54545454545455" style="5" customWidth="1"/>
    <col min="14" max="14" width="5.54545454545455" style="5" customWidth="1"/>
    <col min="15" max="15" width="4.72727272727273" style="5" customWidth="1"/>
    <col min="16" max="16" width="14" style="5" customWidth="1"/>
    <col min="17" max="17" width="18.5454545454545" style="5" customWidth="1"/>
    <col min="18" max="18" width="7.54545454545455" style="5" customWidth="1"/>
    <col min="19" max="19" width="8.54545454545454" style="5" customWidth="1"/>
    <col min="20" max="20" width="10.6363636363636" style="5" customWidth="1"/>
    <col min="21" max="21" width="11.8181818181818" style="5" customWidth="1"/>
    <col min="22" max="22" width="9.54545454545454" style="5" customWidth="1"/>
    <col min="23" max="23" width="8.54545454545454" style="5" customWidth="1"/>
    <col min="24" max="24" width="7.54545454545455" style="5" customWidth="1"/>
    <col min="25" max="25" width="5.44545454545455" style="5" customWidth="1"/>
    <col min="26" max="27" width="9.54545454545454" style="5" customWidth="1"/>
    <col min="28" max="28" width="12.9090909090909" style="5" customWidth="1"/>
    <col min="29" max="31" width="8.54545454545454" style="5" customWidth="1"/>
    <col min="32" max="16384" width="8.72727272727273" style="5" customWidth="1"/>
  </cols>
  <sheetData>
    <row r="1" spans="1:2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R1" s="5" t="s">
        <v>14</v>
      </c>
      <c r="S1" s="5" t="s">
        <v>15</v>
      </c>
      <c r="T1" s="5" t="s">
        <v>9</v>
      </c>
      <c r="U1" s="5" t="s">
        <v>16</v>
      </c>
      <c r="V1" s="5" t="s">
        <v>17</v>
      </c>
    </row>
    <row r="2" spans="1:26">
      <c r="A2" s="5" t="s">
        <v>18</v>
      </c>
      <c r="B2" s="24">
        <f>0.56*0.94</f>
        <v>0.5264</v>
      </c>
      <c r="C2" s="25">
        <f>1.05</f>
        <v>1.05</v>
      </c>
      <c r="D2" s="26">
        <f>65*1.04</f>
        <v>67.6</v>
      </c>
      <c r="E2" s="5">
        <f>($V$2*R2*S2+$V$19*R19*S19)*(1+$H$25/100)</f>
        <v>266680.535714286</v>
      </c>
      <c r="F2" s="5">
        <f>($V$2*T2+$V$19*T19)*(1+$H$25/100)</f>
        <v>92637.6915581854</v>
      </c>
      <c r="G2" s="27">
        <f>277241-250*60-100*10</f>
        <v>261241</v>
      </c>
      <c r="H2" s="28">
        <f t="shared" ref="H2:H22" si="0">G2/E2*(1+$H$25/100)</f>
        <v>1.22450350238481</v>
      </c>
      <c r="I2" s="5">
        <f t="shared" ref="I2:I22" si="1">MAX(E2-G2,0)</f>
        <v>5439.53571428574</v>
      </c>
      <c r="J2" s="29">
        <f t="shared" ref="J2:J22" si="2">I2*B2/C2/D2*100</f>
        <v>4034.05409974643</v>
      </c>
      <c r="K2" s="30">
        <f t="shared" ref="K2:K21" si="3">$K$22*J2/$J$22</f>
        <v>0.771351759480621</v>
      </c>
      <c r="L2" s="5">
        <f t="shared" ref="L2:L22" si="4">FLOOR(K2,1)</f>
        <v>0</v>
      </c>
      <c r="M2" s="5">
        <f t="shared" ref="M2:M22" si="5">ROUND(K2,0)</f>
        <v>1</v>
      </c>
      <c r="N2" s="5">
        <f t="shared" ref="N2:N22" si="6">CEILING(K2,1)</f>
        <v>1</v>
      </c>
      <c r="P2" s="5" t="s">
        <v>19</v>
      </c>
      <c r="Q2" s="5" t="s">
        <v>18</v>
      </c>
      <c r="R2" s="31">
        <v>755</v>
      </c>
      <c r="S2" s="5">
        <f t="shared" ref="S2:S17" si="7">CEILING(R2/2*$P$11/100,1)*2/R2*$F$25/$P$11+1</f>
        <v>1.51534741932093</v>
      </c>
      <c r="T2" s="29">
        <f>R2*B2/C2*(MAX(1,100/D2)*$D$25+1*(1-$D$25))</f>
        <v>396.648110453649</v>
      </c>
      <c r="U2" s="30">
        <f t="shared" ref="U2:U16" si="8">$U$17*T2/$T$17</f>
        <v>6.10091904534991</v>
      </c>
      <c r="V2" s="32">
        <v>66</v>
      </c>
      <c r="Z2" s="29"/>
    </row>
    <row r="3" spans="1:26">
      <c r="A3" s="5" t="s">
        <v>20</v>
      </c>
      <c r="B3" s="24">
        <f>0.27*0.97</f>
        <v>0.2619</v>
      </c>
      <c r="C3" s="25">
        <f>1</f>
        <v>1</v>
      </c>
      <c r="D3" s="26">
        <f>75</f>
        <v>75</v>
      </c>
      <c r="E3" s="5">
        <f>($V$2*R3*S3+$V$19*R20*S20)*(1+$H$25/100)</f>
        <v>359101.914390756</v>
      </c>
      <c r="F3" s="5">
        <f>($V$2*T3+$V$19*T20)*(1+$H$25/100)</f>
        <v>64497.89475</v>
      </c>
      <c r="G3" s="27">
        <f>357085-250*60-100*10</f>
        <v>341085</v>
      </c>
      <c r="H3" s="28">
        <f t="shared" si="0"/>
        <v>1.18728481501789</v>
      </c>
      <c r="I3" s="5">
        <f t="shared" si="1"/>
        <v>18016.9143907563</v>
      </c>
      <c r="J3" s="29">
        <f t="shared" si="2"/>
        <v>6291.50650525209</v>
      </c>
      <c r="K3" s="30">
        <f t="shared" si="3"/>
        <v>1.20299938786518</v>
      </c>
      <c r="L3" s="5">
        <f t="shared" si="4"/>
        <v>1</v>
      </c>
      <c r="M3" s="5">
        <f t="shared" si="5"/>
        <v>1</v>
      </c>
      <c r="N3" s="5">
        <f t="shared" si="6"/>
        <v>2</v>
      </c>
      <c r="Q3" s="5" t="s">
        <v>20</v>
      </c>
      <c r="R3" s="31">
        <v>1060</v>
      </c>
      <c r="S3" s="5">
        <f t="shared" si="7"/>
        <v>1.51820728291317</v>
      </c>
      <c r="T3" s="29">
        <f>R3*B3/C3*(MAX(1,100/D3)*$D$25+1*(1-$D$25))</f>
        <v>286.8678</v>
      </c>
      <c r="U3" s="30">
        <f t="shared" si="8"/>
        <v>4.41236748239129</v>
      </c>
      <c r="Z3" s="29"/>
    </row>
    <row r="4" spans="1:26">
      <c r="A4" s="5" t="s">
        <v>21</v>
      </c>
      <c r="B4" s="24">
        <v>0.75</v>
      </c>
      <c r="C4" s="25">
        <f>1</f>
        <v>1</v>
      </c>
      <c r="D4" s="26">
        <f>80</f>
        <v>80</v>
      </c>
      <c r="E4" s="5">
        <f>($V$2*R4*S4+$V$19*R21*S21)*(1+$H$25/100)</f>
        <v>30853.9241946779</v>
      </c>
      <c r="F4" s="5">
        <f>($V$2*T4+$V$19*T21)*(1+$H$25/100)</f>
        <v>14275.6875</v>
      </c>
      <c r="G4" s="27">
        <f>22379</f>
        <v>22379</v>
      </c>
      <c r="H4" s="28">
        <f t="shared" si="0"/>
        <v>0.90665128440373</v>
      </c>
      <c r="I4" s="5">
        <f t="shared" si="1"/>
        <v>8474.92419467787</v>
      </c>
      <c r="J4" s="29">
        <f t="shared" si="2"/>
        <v>7945.2414325105</v>
      </c>
      <c r="K4" s="30">
        <f t="shared" si="3"/>
        <v>1.51921015606869</v>
      </c>
      <c r="L4" s="5">
        <f t="shared" si="4"/>
        <v>1</v>
      </c>
      <c r="M4" s="5">
        <f t="shared" si="5"/>
        <v>2</v>
      </c>
      <c r="N4" s="5">
        <f t="shared" si="6"/>
        <v>2</v>
      </c>
      <c r="P4" s="5" t="s">
        <v>22</v>
      </c>
      <c r="Q4" s="5" t="s">
        <v>21</v>
      </c>
      <c r="R4" s="31">
        <v>96</v>
      </c>
      <c r="S4" s="5">
        <f t="shared" si="7"/>
        <v>1.71523401027078</v>
      </c>
      <c r="T4" s="29">
        <f>R4*B4/C4*(MAX(1,100/D4)*$D$25+1*(1-$D$25))</f>
        <v>73.8</v>
      </c>
      <c r="U4" s="30">
        <f t="shared" si="8"/>
        <v>1.13513165367628</v>
      </c>
      <c r="Z4" s="29"/>
    </row>
    <row r="5" spans="1:26">
      <c r="A5" s="5" t="s">
        <v>23</v>
      </c>
      <c r="B5" s="24">
        <f>0.6*0.94</f>
        <v>0.564</v>
      </c>
      <c r="C5" s="25">
        <f>1.05</f>
        <v>1.05</v>
      </c>
      <c r="D5" s="26">
        <f>57*1.04</f>
        <v>59.28</v>
      </c>
      <c r="E5" s="5">
        <f>($V$2*R5*S5+$V$19*R22*S22)*(1+$H$25/100)</f>
        <v>44674.8503151261</v>
      </c>
      <c r="F5" s="5">
        <f>($V$2*T5+$V$19*T22)*(1+$H$25/100)</f>
        <v>15989.8762521689</v>
      </c>
      <c r="G5" s="27">
        <f>38706-36*60</f>
        <v>36546</v>
      </c>
      <c r="H5" s="28">
        <f t="shared" si="0"/>
        <v>1.02255518883144</v>
      </c>
      <c r="I5" s="5">
        <f t="shared" si="1"/>
        <v>8128.85031512605</v>
      </c>
      <c r="J5" s="29">
        <f t="shared" si="2"/>
        <v>7365.64420302534</v>
      </c>
      <c r="K5" s="30">
        <f t="shared" si="3"/>
        <v>1.40838533029811</v>
      </c>
      <c r="L5" s="5">
        <f t="shared" si="4"/>
        <v>1</v>
      </c>
      <c r="M5" s="5">
        <f t="shared" si="5"/>
        <v>1</v>
      </c>
      <c r="N5" s="5">
        <f t="shared" si="6"/>
        <v>2</v>
      </c>
      <c r="P5" s="33">
        <v>35</v>
      </c>
      <c r="Q5" s="5" t="s">
        <v>23</v>
      </c>
      <c r="R5" s="31">
        <v>144</v>
      </c>
      <c r="S5" s="5">
        <f t="shared" si="7"/>
        <v>1.63576356468513</v>
      </c>
      <c r="T5" s="29">
        <f>R5*B5/C5*(MAX(1,100/D5)*$D$25+1*(1-$D$25))</f>
        <v>82.6617189126663</v>
      </c>
      <c r="U5" s="30">
        <f t="shared" si="8"/>
        <v>1.27143541578671</v>
      </c>
      <c r="Z5" s="29"/>
    </row>
    <row r="6" spans="1:26">
      <c r="A6" s="5" t="s">
        <v>24</v>
      </c>
      <c r="B6" s="24">
        <f>0.7*0.94</f>
        <v>0.658</v>
      </c>
      <c r="C6" s="25">
        <f>1.05</f>
        <v>1.05</v>
      </c>
      <c r="D6" s="26">
        <f>57*1.03</f>
        <v>58.71</v>
      </c>
      <c r="E6" s="5">
        <f>($V$2*R6*S6+$V$19*R23*S23)*(1+$H$25/100)</f>
        <v>38367.7783613445</v>
      </c>
      <c r="F6" s="5">
        <f>($V$2*T6+$V$19*T23)*(1+$H$25/100)</f>
        <v>16607.5060648385</v>
      </c>
      <c r="G6" s="27">
        <f>35079-32*60</f>
        <v>33159</v>
      </c>
      <c r="H6" s="28">
        <f t="shared" si="0"/>
        <v>1.08030101742246</v>
      </c>
      <c r="I6" s="5">
        <f t="shared" si="1"/>
        <v>5208.77836134454</v>
      </c>
      <c r="J6" s="29">
        <f t="shared" si="2"/>
        <v>5559.81565850663</v>
      </c>
      <c r="K6" s="30">
        <f t="shared" si="3"/>
        <v>1.06309273116753</v>
      </c>
      <c r="L6" s="5">
        <f t="shared" si="4"/>
        <v>1</v>
      </c>
      <c r="M6" s="5">
        <f t="shared" si="5"/>
        <v>1</v>
      </c>
      <c r="N6" s="5">
        <f t="shared" si="6"/>
        <v>2</v>
      </c>
      <c r="P6" s="5" t="s">
        <v>25</v>
      </c>
      <c r="Q6" s="5" t="s">
        <v>24</v>
      </c>
      <c r="R6" s="31">
        <v>128</v>
      </c>
      <c r="S6" s="5">
        <f t="shared" si="7"/>
        <v>1.53642550770308</v>
      </c>
      <c r="T6" s="29">
        <f>R6*B6/C6*(MAX(1,100/D6)*$D$25+1*(1-$D$25))</f>
        <v>85.8546355532845</v>
      </c>
      <c r="U6" s="30">
        <f t="shared" si="8"/>
        <v>1.32054626600778</v>
      </c>
      <c r="Z6" s="29"/>
    </row>
    <row r="7" spans="1:26">
      <c r="A7" s="5" t="s">
        <v>26</v>
      </c>
      <c r="B7" s="24">
        <f>5.25*0.97</f>
        <v>5.0925</v>
      </c>
      <c r="C7" s="25">
        <f>1.03</f>
        <v>1.03</v>
      </c>
      <c r="D7" s="26">
        <f>55*1.03</f>
        <v>56.65</v>
      </c>
      <c r="E7" s="5">
        <f>($V$19*R24*S24)*(1+$H$25/100)</f>
        <v>3098.85416666667</v>
      </c>
      <c r="F7" s="5">
        <f>($V$19*T24)*(1+$H$25/100)</f>
        <v>9447.46484010146</v>
      </c>
      <c r="G7" s="27">
        <f>5024-4*60</f>
        <v>4784</v>
      </c>
      <c r="H7" s="28">
        <f t="shared" si="0"/>
        <v>1.92974553766513</v>
      </c>
      <c r="I7" s="5">
        <f t="shared" si="1"/>
        <v>0</v>
      </c>
      <c r="J7" s="29">
        <f t="shared" si="2"/>
        <v>0</v>
      </c>
      <c r="K7" s="30">
        <f t="shared" si="3"/>
        <v>0</v>
      </c>
      <c r="L7" s="5">
        <f t="shared" si="4"/>
        <v>0</v>
      </c>
      <c r="M7" s="5">
        <f t="shared" si="5"/>
        <v>0</v>
      </c>
      <c r="N7" s="5">
        <f t="shared" si="6"/>
        <v>0</v>
      </c>
      <c r="P7" s="34">
        <v>370</v>
      </c>
      <c r="Q7" s="5" t="s">
        <v>27</v>
      </c>
      <c r="R7" s="31">
        <v>12</v>
      </c>
      <c r="S7" s="5">
        <f t="shared" si="7"/>
        <v>2.9072906940554</v>
      </c>
      <c r="T7" s="29">
        <f>R7*B10/C10*(MAX(1,100/D10)*$D$25+1*(1-$D$25))</f>
        <v>391.559870550162</v>
      </c>
      <c r="U7" s="30">
        <f t="shared" si="8"/>
        <v>6.0226558722341</v>
      </c>
      <c r="Z7" s="29"/>
    </row>
    <row r="8" spans="1:26">
      <c r="A8" s="5" t="s">
        <v>28</v>
      </c>
      <c r="B8" s="24">
        <f>6*0.97</f>
        <v>5.82</v>
      </c>
      <c r="C8" s="35">
        <f>1.03</f>
        <v>1.03</v>
      </c>
      <c r="D8" s="26">
        <f>35*1.03</f>
        <v>36.05</v>
      </c>
      <c r="E8" s="5">
        <f>($V$19*R25*S25)*(1+$H$25/100)</f>
        <v>3453.85416666667</v>
      </c>
      <c r="F8" s="5">
        <f>($V$19*T25)*(1+$H$25/100)</f>
        <v>14170.5475674293</v>
      </c>
      <c r="G8" s="27">
        <v>3284</v>
      </c>
      <c r="H8" s="28">
        <f t="shared" si="0"/>
        <v>1.18852730946708</v>
      </c>
      <c r="I8" s="5">
        <f t="shared" si="1"/>
        <v>169.854166666666</v>
      </c>
      <c r="J8" s="29">
        <f t="shared" si="2"/>
        <v>2662.29818348302</v>
      </c>
      <c r="K8" s="30">
        <f t="shared" si="3"/>
        <v>0.509058217196634</v>
      </c>
      <c r="L8" s="5">
        <f t="shared" si="4"/>
        <v>0</v>
      </c>
      <c r="M8" s="5">
        <f t="shared" si="5"/>
        <v>1</v>
      </c>
      <c r="N8" s="5">
        <f t="shared" si="6"/>
        <v>1</v>
      </c>
      <c r="P8" s="5" t="s">
        <v>29</v>
      </c>
      <c r="Q8" s="5" t="s">
        <v>30</v>
      </c>
      <c r="R8" s="31">
        <v>36</v>
      </c>
      <c r="S8" s="5">
        <f t="shared" si="7"/>
        <v>1.63576356468513</v>
      </c>
      <c r="T8" s="29">
        <f>R8*B11/C11*(MAX(1,100/D11)*$D$25+1*(1-$D$25))</f>
        <v>491.753152983316</v>
      </c>
      <c r="U8" s="30">
        <f t="shared" si="8"/>
        <v>7.56374755754035</v>
      </c>
      <c r="Z8" s="29"/>
    </row>
    <row r="9" spans="1:26">
      <c r="A9" s="5" t="s">
        <v>31</v>
      </c>
      <c r="B9" s="24">
        <f>16*1</f>
        <v>16</v>
      </c>
      <c r="C9" s="35">
        <f>1.05</f>
        <v>1.05</v>
      </c>
      <c r="D9" s="26">
        <f>35*1.03</f>
        <v>36.05</v>
      </c>
      <c r="E9" s="5">
        <f>($V$19*R26*S26)*(1+$H$25/100)</f>
        <v>2388.85416666667</v>
      </c>
      <c r="F9" s="5">
        <f>($V$19*T26)*(1+$H$25/100)</f>
        <v>19107.3984545274</v>
      </c>
      <c r="G9" s="27">
        <v>2298</v>
      </c>
      <c r="H9" s="28">
        <f t="shared" si="0"/>
        <v>1.20245933807177</v>
      </c>
      <c r="I9" s="5">
        <f t="shared" si="1"/>
        <v>90.8541666666665</v>
      </c>
      <c r="J9" s="29">
        <f t="shared" si="2"/>
        <v>3840.34519956849</v>
      </c>
      <c r="K9" s="30">
        <f t="shared" si="3"/>
        <v>0.734312667469263</v>
      </c>
      <c r="L9" s="5">
        <f t="shared" si="4"/>
        <v>0</v>
      </c>
      <c r="M9" s="5">
        <f t="shared" si="5"/>
        <v>1</v>
      </c>
      <c r="N9" s="5">
        <f t="shared" si="6"/>
        <v>1</v>
      </c>
      <c r="P9" s="36">
        <v>0</v>
      </c>
      <c r="Q9" s="5" t="s">
        <v>32</v>
      </c>
      <c r="R9" s="31">
        <v>161</v>
      </c>
      <c r="S9" s="5">
        <f t="shared" si="7"/>
        <v>1.56863325040161</v>
      </c>
      <c r="T9" s="29">
        <f>R9*B12/C12*(MAX(1,100/D12)*$D$25+1*(1-$D$25))</f>
        <v>132.02</v>
      </c>
      <c r="U9" s="30">
        <f t="shared" si="8"/>
        <v>2.03062440268757</v>
      </c>
      <c r="Z9" s="29"/>
    </row>
    <row r="10" spans="1:26">
      <c r="A10" s="5" t="s">
        <v>27</v>
      </c>
      <c r="B10" s="24">
        <f>28*1</f>
        <v>28</v>
      </c>
      <c r="C10" s="35">
        <f>1.05</f>
        <v>1.05</v>
      </c>
      <c r="D10" s="26">
        <f>30*1.03</f>
        <v>30.9</v>
      </c>
      <c r="E10" s="5">
        <f>($V$2*R7*S7+$V$19*R27*S27)*(1+$H$25/100)</f>
        <v>5267.07195378151</v>
      </c>
      <c r="F10" s="5">
        <f>($V$2*T7+$V$19*T27)*(1+$H$25/100)</f>
        <v>67054.6278317152</v>
      </c>
      <c r="G10" s="27">
        <v>3948</v>
      </c>
      <c r="H10" s="28">
        <f t="shared" si="0"/>
        <v>0.936953214861038</v>
      </c>
      <c r="I10" s="5">
        <f t="shared" si="1"/>
        <v>1319.07195378151</v>
      </c>
      <c r="J10" s="29">
        <f t="shared" si="2"/>
        <v>113835.767316635</v>
      </c>
      <c r="K10" s="30">
        <f t="shared" si="3"/>
        <v>21.7665448306786</v>
      </c>
      <c r="L10" s="5">
        <f t="shared" si="4"/>
        <v>21</v>
      </c>
      <c r="M10" s="5">
        <f t="shared" si="5"/>
        <v>22</v>
      </c>
      <c r="N10" s="5">
        <f t="shared" si="6"/>
        <v>22</v>
      </c>
      <c r="P10" s="5" t="s">
        <v>33</v>
      </c>
      <c r="Q10" s="5" t="s">
        <v>34</v>
      </c>
      <c r="R10" s="31">
        <v>170</v>
      </c>
      <c r="S10" s="5">
        <f t="shared" si="7"/>
        <v>1.53852913714505</v>
      </c>
      <c r="T10" s="29">
        <f>R10*B13/C13*(MAX(1,100/D13)*$D$25+1*(1-$D$25))</f>
        <v>286.646153846154</v>
      </c>
      <c r="U10" s="30">
        <f t="shared" si="8"/>
        <v>4.40895830129174</v>
      </c>
      <c r="Z10" s="29"/>
    </row>
    <row r="11" spans="1:26">
      <c r="A11" s="5" t="s">
        <v>30</v>
      </c>
      <c r="B11" s="24">
        <f>13*0.97</f>
        <v>12.61</v>
      </c>
      <c r="C11" s="35">
        <f>1.03</f>
        <v>1.03</v>
      </c>
      <c r="D11" s="26">
        <f>45*1.03</f>
        <v>46.35</v>
      </c>
      <c r="E11" s="5">
        <f>($V$2*R8*S8+$V$19*R28*S28)*(1+$H$25/100)</f>
        <v>10700.9261204482</v>
      </c>
      <c r="F11" s="5">
        <f>($V$2*T8+$V$19*T28)*(1+$H$25/100)</f>
        <v>84212.7274483929</v>
      </c>
      <c r="G11" s="27">
        <v>3344</v>
      </c>
      <c r="H11" s="28">
        <f t="shared" si="0"/>
        <v>0.390620396118101</v>
      </c>
      <c r="I11" s="5">
        <f t="shared" si="1"/>
        <v>7356.92612044818</v>
      </c>
      <c r="J11" s="29">
        <f t="shared" si="2"/>
        <v>194323.139428476</v>
      </c>
      <c r="K11" s="30">
        <f t="shared" si="3"/>
        <v>37.1565407403374</v>
      </c>
      <c r="L11" s="5">
        <f t="shared" si="4"/>
        <v>37</v>
      </c>
      <c r="M11" s="5">
        <f t="shared" si="5"/>
        <v>37</v>
      </c>
      <c r="N11" s="5">
        <f t="shared" si="6"/>
        <v>38</v>
      </c>
      <c r="P11" s="5">
        <f>0.09/((2.5*(1-P9/100)+3.5*P9/100)*0.053)*0.7*(P5-1)/P7*100</f>
        <v>4.36919938806731</v>
      </c>
      <c r="Q11" s="5" t="s">
        <v>35</v>
      </c>
      <c r="R11" s="31">
        <v>100</v>
      </c>
      <c r="S11" s="5">
        <f t="shared" si="7"/>
        <v>1.68662464985994</v>
      </c>
      <c r="T11" s="29">
        <f>R11*B14/C14*(MAX(1,100/D14)*$D$25+1*(1-$D$25))</f>
        <v>160</v>
      </c>
      <c r="U11" s="30">
        <f t="shared" si="8"/>
        <v>2.46099003507053</v>
      </c>
      <c r="Z11" s="29"/>
    </row>
    <row r="12" spans="1:26">
      <c r="A12" s="5" t="s">
        <v>32</v>
      </c>
      <c r="B12" s="24">
        <v>0.8</v>
      </c>
      <c r="C12" s="25">
        <f t="shared" ref="C12:C21" si="9">1</f>
        <v>1</v>
      </c>
      <c r="D12" s="26">
        <f>80</f>
        <v>80</v>
      </c>
      <c r="E12" s="5">
        <f>($V$2*R9*S9+$V$19*R29*S29)*(1+$H$25/100)</f>
        <v>38992.1419817927</v>
      </c>
      <c r="F12" s="5">
        <f>($V$2*T9+$V$19*T29)*(1+$H$25/100)</f>
        <v>20352.4</v>
      </c>
      <c r="G12" s="27">
        <v>19092</v>
      </c>
      <c r="H12" s="28">
        <f t="shared" si="0"/>
        <v>0.612046396711002</v>
      </c>
      <c r="I12" s="5">
        <f t="shared" si="1"/>
        <v>19900.1419817927</v>
      </c>
      <c r="J12" s="29">
        <f t="shared" si="2"/>
        <v>19900.1419817927</v>
      </c>
      <c r="K12" s="30">
        <f t="shared" si="3"/>
        <v>3.80510750526</v>
      </c>
      <c r="L12" s="5">
        <f t="shared" si="4"/>
        <v>3</v>
      </c>
      <c r="M12" s="5">
        <f t="shared" si="5"/>
        <v>4</v>
      </c>
      <c r="N12" s="5">
        <f t="shared" si="6"/>
        <v>4</v>
      </c>
      <c r="Q12" s="5" t="s">
        <v>36</v>
      </c>
      <c r="R12" s="31">
        <v>30</v>
      </c>
      <c r="S12" s="5">
        <f t="shared" si="7"/>
        <v>1.76291627762216</v>
      </c>
      <c r="T12" s="29">
        <f>R12*B17/C17*(MAX(1,100/D17)*$D$25+1*(1-$D$25))</f>
        <v>88.0715548281506</v>
      </c>
      <c r="U12" s="30">
        <f t="shared" si="8"/>
        <v>1.35464511753279</v>
      </c>
      <c r="Z12" s="29"/>
    </row>
    <row r="13" spans="1:26">
      <c r="A13" s="5" t="s">
        <v>34</v>
      </c>
      <c r="B13" s="24">
        <v>1.6</v>
      </c>
      <c r="C13" s="25">
        <f t="shared" si="9"/>
        <v>1</v>
      </c>
      <c r="D13" s="26">
        <f>65</f>
        <v>65</v>
      </c>
      <c r="E13" s="5">
        <f>($V$2*R10*S10+$V$19*R30*S30)*(1+$H$25/100)</f>
        <v>31761.9336484594</v>
      </c>
      <c r="F13" s="5">
        <f>($V$2*T10+$V$19*T30)*(1+$H$25/100)</f>
        <v>34123.5384615385</v>
      </c>
      <c r="G13" s="27">
        <v>25793</v>
      </c>
      <c r="H13" s="28">
        <f t="shared" si="0"/>
        <v>1.01509090588897</v>
      </c>
      <c r="I13" s="5">
        <f t="shared" si="1"/>
        <v>5968.93364845938</v>
      </c>
      <c r="J13" s="29">
        <f t="shared" si="2"/>
        <v>14692.7597500539</v>
      </c>
      <c r="K13" s="30">
        <f t="shared" si="3"/>
        <v>2.80940359365594</v>
      </c>
      <c r="L13" s="5">
        <f t="shared" si="4"/>
        <v>2</v>
      </c>
      <c r="M13" s="5">
        <f t="shared" si="5"/>
        <v>3</v>
      </c>
      <c r="N13" s="5">
        <f t="shared" si="6"/>
        <v>3</v>
      </c>
      <c r="Q13" s="5" t="s">
        <v>37</v>
      </c>
      <c r="R13" s="31">
        <v>40</v>
      </c>
      <c r="S13" s="5">
        <f t="shared" si="7"/>
        <v>1.57218720821662</v>
      </c>
      <c r="T13" s="29">
        <f>R13*B18/C18*(MAX(1,100/D18)*$D$25+1*(1-$D$25))</f>
        <v>120.713965183752</v>
      </c>
      <c r="U13" s="30">
        <f t="shared" si="8"/>
        <v>1.85672415881916</v>
      </c>
      <c r="Z13" s="29"/>
    </row>
    <row r="14" spans="1:26">
      <c r="A14" s="5" t="s">
        <v>35</v>
      </c>
      <c r="B14" s="24">
        <v>1.5</v>
      </c>
      <c r="C14" s="25">
        <f t="shared" si="9"/>
        <v>1</v>
      </c>
      <c r="D14" s="26">
        <f>60</f>
        <v>60</v>
      </c>
      <c r="E14" s="5">
        <f>($V$2*R11*S11+$V$19*R31*S31)*(1+$H$25/100)</f>
        <v>24542.4658613445</v>
      </c>
      <c r="F14" s="5">
        <f>($V$2*T11+$V$19*T31)*(1+$H$25/100)</f>
        <v>23850</v>
      </c>
      <c r="G14" s="27">
        <v>23333</v>
      </c>
      <c r="H14" s="28">
        <f t="shared" si="0"/>
        <v>1.18839933056352</v>
      </c>
      <c r="I14" s="5">
        <f t="shared" si="1"/>
        <v>1209.46586134454</v>
      </c>
      <c r="J14" s="29">
        <f t="shared" si="2"/>
        <v>3023.66465336134</v>
      </c>
      <c r="K14" s="30">
        <f t="shared" si="3"/>
        <v>0.578155124542389</v>
      </c>
      <c r="L14" s="5">
        <f t="shared" si="4"/>
        <v>0</v>
      </c>
      <c r="M14" s="5">
        <f t="shared" si="5"/>
        <v>1</v>
      </c>
      <c r="N14" s="5">
        <f t="shared" si="6"/>
        <v>1</v>
      </c>
      <c r="Q14" s="5" t="s">
        <v>38</v>
      </c>
      <c r="R14" s="31">
        <v>135</v>
      </c>
      <c r="S14" s="5">
        <f t="shared" si="7"/>
        <v>1.50861085174811</v>
      </c>
      <c r="T14" s="29">
        <f>R14*B19/C19*(MAX(1,100/D19)*$D$25+1*(1-$D$25))</f>
        <v>669.006382978724</v>
      </c>
      <c r="U14" s="30">
        <f t="shared" si="8"/>
        <v>10.2901127619326</v>
      </c>
      <c r="Z14" s="29"/>
    </row>
    <row r="15" spans="1:26">
      <c r="A15" s="5" t="s">
        <v>39</v>
      </c>
      <c r="B15" s="24">
        <v>1.3</v>
      </c>
      <c r="C15" s="25">
        <f t="shared" si="9"/>
        <v>1</v>
      </c>
      <c r="D15" s="26">
        <f>60</f>
        <v>60</v>
      </c>
      <c r="E15" s="5">
        <f>($V$19*R32*S32)*(1+$H$25/100)</f>
        <v>22320.625</v>
      </c>
      <c r="F15" s="5">
        <f>($V$19*T32)*(1+$H$25/100)</f>
        <v>19936.8</v>
      </c>
      <c r="G15" s="27">
        <v>28332</v>
      </c>
      <c r="H15" s="28">
        <f t="shared" si="0"/>
        <v>1.5866491193683</v>
      </c>
      <c r="I15" s="5">
        <f t="shared" si="1"/>
        <v>0</v>
      </c>
      <c r="J15" s="29">
        <f t="shared" si="2"/>
        <v>0</v>
      </c>
      <c r="K15" s="30">
        <f t="shared" si="3"/>
        <v>0</v>
      </c>
      <c r="L15" s="5">
        <f t="shared" si="4"/>
        <v>0</v>
      </c>
      <c r="M15" s="5">
        <f t="shared" si="5"/>
        <v>0</v>
      </c>
      <c r="N15" s="5">
        <f t="shared" si="6"/>
        <v>0</v>
      </c>
      <c r="Q15" s="5" t="s">
        <v>40</v>
      </c>
      <c r="R15" s="31">
        <v>60</v>
      </c>
      <c r="S15" s="5">
        <f t="shared" si="7"/>
        <v>1.76291627762216</v>
      </c>
      <c r="T15" s="29">
        <f>R15*B20/C20*(MAX(1,100/D20)*$D$25+1*(1-$D$25))</f>
        <v>348.414346504559</v>
      </c>
      <c r="U15" s="30">
        <f t="shared" si="8"/>
        <v>5.35902646764582</v>
      </c>
      <c r="Z15" s="29"/>
    </row>
    <row r="16" spans="1:26">
      <c r="A16" s="5" t="s">
        <v>41</v>
      </c>
      <c r="B16" s="24">
        <v>0.75</v>
      </c>
      <c r="C16" s="25">
        <f t="shared" si="9"/>
        <v>1</v>
      </c>
      <c r="D16" s="26">
        <f>60</f>
        <v>60</v>
      </c>
      <c r="E16" s="5">
        <f>($V$19*R33*S33)*(1+$H$25/100)</f>
        <v>10184.0625</v>
      </c>
      <c r="F16" s="5">
        <f>($V$19*T33)*(1+$H$25/100)</f>
        <v>4970</v>
      </c>
      <c r="G16" s="27">
        <v>45655</v>
      </c>
      <c r="H16" s="28">
        <f t="shared" si="0"/>
        <v>5.60373132038418</v>
      </c>
      <c r="I16" s="5">
        <f t="shared" si="1"/>
        <v>0</v>
      </c>
      <c r="J16" s="29">
        <f t="shared" si="2"/>
        <v>0</v>
      </c>
      <c r="K16" s="30">
        <f t="shared" si="3"/>
        <v>0</v>
      </c>
      <c r="L16" s="5">
        <f t="shared" si="4"/>
        <v>0</v>
      </c>
      <c r="M16" s="5">
        <f t="shared" si="5"/>
        <v>0</v>
      </c>
      <c r="N16" s="5">
        <f t="shared" si="6"/>
        <v>0</v>
      </c>
      <c r="Q16" s="5" t="s">
        <v>42</v>
      </c>
      <c r="R16" s="31">
        <v>665</v>
      </c>
      <c r="S16" s="5">
        <f t="shared" si="7"/>
        <v>1.51625913523304</v>
      </c>
      <c r="T16" s="29">
        <f>R16*B21/C21*(MAX(1,100/D21)*$D$25+1*(1-$D$25))</f>
        <v>5212.61676567657</v>
      </c>
      <c r="U16" s="30">
        <f t="shared" si="8"/>
        <v>80.1762369810726</v>
      </c>
      <c r="Z16" s="29"/>
    </row>
    <row r="17" spans="1:26">
      <c r="A17" s="5" t="s">
        <v>36</v>
      </c>
      <c r="B17" s="24">
        <f>3*0.92</f>
        <v>2.76</v>
      </c>
      <c r="C17" s="25">
        <f t="shared" si="9"/>
        <v>1</v>
      </c>
      <c r="D17" s="26">
        <f>65*0.94</f>
        <v>61.1</v>
      </c>
      <c r="E17" s="5">
        <f>($V$2*R12*S12+$V$19*R34*S34)*(1+$H$25/100)</f>
        <v>4363.21778711485</v>
      </c>
      <c r="F17" s="5">
        <f>($V$2*T12+$V$19*T34)*(1+$H$25/100)</f>
        <v>7265.90327332242</v>
      </c>
      <c r="G17" s="27">
        <v>3566</v>
      </c>
      <c r="H17" s="28">
        <f t="shared" si="0"/>
        <v>1.02160841321366</v>
      </c>
      <c r="I17" s="5">
        <f t="shared" si="1"/>
        <v>797.217787114846</v>
      </c>
      <c r="J17" s="29">
        <f t="shared" si="2"/>
        <v>3601.18018402124</v>
      </c>
      <c r="K17" s="30">
        <f t="shared" si="3"/>
        <v>0.688581908538642</v>
      </c>
      <c r="L17" s="5">
        <f t="shared" si="4"/>
        <v>0</v>
      </c>
      <c r="M17" s="5">
        <f t="shared" si="5"/>
        <v>1</v>
      </c>
      <c r="N17" s="5">
        <f t="shared" si="6"/>
        <v>1</v>
      </c>
      <c r="Q17" s="5" t="s">
        <v>43</v>
      </c>
      <c r="R17" s="31">
        <v>320</v>
      </c>
      <c r="S17" s="5">
        <f t="shared" si="7"/>
        <v>1.50066380718954</v>
      </c>
      <c r="T17" s="29">
        <f>R17*B22/C22*(MAX(1,100/D22)*$D$25+1*(1-$D$25))*S17</f>
        <v>9752.17276705152</v>
      </c>
      <c r="U17" s="30">
        <f>K22</f>
        <v>150</v>
      </c>
      <c r="Z17" s="29"/>
    </row>
    <row r="18" spans="1:26">
      <c r="A18" s="5" t="s">
        <v>37</v>
      </c>
      <c r="B18" s="24">
        <f>3*0.92</f>
        <v>2.76</v>
      </c>
      <c r="C18" s="25">
        <f t="shared" si="9"/>
        <v>1</v>
      </c>
      <c r="D18" s="26">
        <f>55*0.94</f>
        <v>51.7</v>
      </c>
      <c r="E18" s="5">
        <f>($V$2*R13*S13)*(1+$H$25/100)</f>
        <v>5188.21778711485</v>
      </c>
      <c r="F18" s="5">
        <f>($V$2*T13)*(1+$H$25/100)</f>
        <v>9958.90212765957</v>
      </c>
      <c r="G18" s="27">
        <v>3599</v>
      </c>
      <c r="H18" s="28">
        <f t="shared" si="0"/>
        <v>0.867108935012873</v>
      </c>
      <c r="I18" s="5">
        <f t="shared" si="1"/>
        <v>1589.21778711485</v>
      </c>
      <c r="J18" s="29">
        <f t="shared" si="2"/>
        <v>8484.02532386262</v>
      </c>
      <c r="K18" s="30">
        <f t="shared" si="3"/>
        <v>1.62223106067193</v>
      </c>
      <c r="L18" s="5">
        <f t="shared" si="4"/>
        <v>1</v>
      </c>
      <c r="M18" s="5">
        <f t="shared" si="5"/>
        <v>2</v>
      </c>
      <c r="N18" s="5">
        <f t="shared" si="6"/>
        <v>2</v>
      </c>
      <c r="S18" s="29"/>
      <c r="Z18" s="29"/>
    </row>
    <row r="19" spans="1:26">
      <c r="A19" s="5" t="s">
        <v>38</v>
      </c>
      <c r="B19" s="24">
        <f>5*0.92</f>
        <v>4.6</v>
      </c>
      <c r="C19" s="25">
        <f t="shared" si="9"/>
        <v>1</v>
      </c>
      <c r="D19" s="26">
        <f>60*0.94</f>
        <v>56.4</v>
      </c>
      <c r="E19" s="5">
        <f>($V$2*R14*S14)*(1+$H$25/100)</f>
        <v>16802.1533613445</v>
      </c>
      <c r="F19" s="5">
        <f>($V$2*T14)*(1+$H$25/100)</f>
        <v>55193.0265957447</v>
      </c>
      <c r="G19" s="27">
        <v>12417</v>
      </c>
      <c r="H19" s="28">
        <f t="shared" si="0"/>
        <v>0.92376552375177</v>
      </c>
      <c r="I19" s="5">
        <f t="shared" si="1"/>
        <v>4385.15336134454</v>
      </c>
      <c r="J19" s="29">
        <f t="shared" si="2"/>
        <v>35765.4352166399</v>
      </c>
      <c r="K19" s="30">
        <f t="shared" si="3"/>
        <v>6.83871130649424</v>
      </c>
      <c r="L19" s="5">
        <f t="shared" si="4"/>
        <v>6</v>
      </c>
      <c r="M19" s="5">
        <f t="shared" si="5"/>
        <v>7</v>
      </c>
      <c r="N19" s="5">
        <f t="shared" si="6"/>
        <v>7</v>
      </c>
      <c r="P19" s="5" t="s">
        <v>44</v>
      </c>
      <c r="Q19" s="5" t="s">
        <v>18</v>
      </c>
      <c r="R19" s="31">
        <v>1285</v>
      </c>
      <c r="S19" s="5">
        <f t="shared" ref="S19:S33" si="10">CEILING(R19/2*$P$28/100,1)*2/R19*$F$25/$P$28+1</f>
        <v>1.51076523994812</v>
      </c>
      <c r="T19" s="29">
        <f t="shared" ref="T19:T34" si="11">R19*B2/C2*(MAX(1,100/D2)*$D$25+1*(1-$D$25))</f>
        <v>675.089830374753</v>
      </c>
      <c r="U19" s="30">
        <f t="shared" ref="U19:U34" si="12">$U$17*T19/$T$17</f>
        <v>10.3836834083108</v>
      </c>
      <c r="V19" s="32">
        <v>71</v>
      </c>
      <c r="Z19" s="29"/>
    </row>
    <row r="20" spans="1:26">
      <c r="A20" s="5" t="s">
        <v>40</v>
      </c>
      <c r="B20" s="37">
        <f>6*0.92</f>
        <v>5.52</v>
      </c>
      <c r="C20" s="25">
        <f t="shared" si="9"/>
        <v>1</v>
      </c>
      <c r="D20" s="26">
        <f>70*0.94</f>
        <v>65.8</v>
      </c>
      <c r="E20" s="5">
        <f>($V$2*R15*S15)*(1+$H$25/100)</f>
        <v>8726.43557422969</v>
      </c>
      <c r="F20" s="5">
        <f>($V$2*T15)*(1+$H$25/100)</f>
        <v>28744.1835866261</v>
      </c>
      <c r="G20" s="27">
        <v>2169</v>
      </c>
      <c r="H20" s="28">
        <f t="shared" si="0"/>
        <v>0.310693865431915</v>
      </c>
      <c r="I20" s="5">
        <f t="shared" si="1"/>
        <v>6557.43557422969</v>
      </c>
      <c r="J20" s="29">
        <f t="shared" si="2"/>
        <v>55010.7057291002</v>
      </c>
      <c r="K20" s="30">
        <f t="shared" si="3"/>
        <v>10.5186007934498</v>
      </c>
      <c r="L20" s="5">
        <f t="shared" si="4"/>
        <v>10</v>
      </c>
      <c r="M20" s="5">
        <f t="shared" si="5"/>
        <v>11</v>
      </c>
      <c r="N20" s="5">
        <f t="shared" si="6"/>
        <v>11</v>
      </c>
      <c r="Q20" s="5" t="s">
        <v>20</v>
      </c>
      <c r="R20" s="31">
        <v>1700</v>
      </c>
      <c r="S20" s="5">
        <f t="shared" si="10"/>
        <v>1.50014705882353</v>
      </c>
      <c r="T20" s="29">
        <f t="shared" si="11"/>
        <v>460.071</v>
      </c>
      <c r="U20" s="30">
        <f t="shared" si="12"/>
        <v>7.07643841515584</v>
      </c>
    </row>
    <row r="21" spans="1:26">
      <c r="A21" s="5" t="s">
        <v>42</v>
      </c>
      <c r="B21" s="24">
        <f>8*0.92</f>
        <v>7.36</v>
      </c>
      <c r="C21" s="25">
        <f t="shared" si="9"/>
        <v>1</v>
      </c>
      <c r="D21" s="26">
        <f>60*1.01</f>
        <v>60.6</v>
      </c>
      <c r="E21" s="5">
        <f>($V$2*R16*S16)*(1+$H$25/100)</f>
        <v>83185.7668067227</v>
      </c>
      <c r="F21" s="5">
        <f>($V$2*T16)*(1+$H$25/100)</f>
        <v>430040.883168317</v>
      </c>
      <c r="G21" s="27">
        <v>6630</v>
      </c>
      <c r="H21" s="28">
        <f t="shared" si="0"/>
        <v>0.0996264182940758</v>
      </c>
      <c r="I21" s="5">
        <f t="shared" si="1"/>
        <v>76555.7668067227</v>
      </c>
      <c r="J21" s="29">
        <f t="shared" si="2"/>
        <v>929786.210721913</v>
      </c>
      <c r="K21" s="30">
        <f t="shared" si="3"/>
        <v>177.784484751022</v>
      </c>
      <c r="L21" s="5">
        <f t="shared" si="4"/>
        <v>177</v>
      </c>
      <c r="M21" s="5">
        <f t="shared" si="5"/>
        <v>178</v>
      </c>
      <c r="N21" s="5">
        <f t="shared" si="6"/>
        <v>178</v>
      </c>
      <c r="P21" s="5" t="s">
        <v>22</v>
      </c>
      <c r="Q21" s="5" t="s">
        <v>21</v>
      </c>
      <c r="R21" s="31">
        <v>120</v>
      </c>
      <c r="S21" s="5">
        <f t="shared" si="10"/>
        <v>1.62152777777778</v>
      </c>
      <c r="T21" s="29">
        <f t="shared" si="11"/>
        <v>92.25</v>
      </c>
      <c r="U21" s="30">
        <f t="shared" si="12"/>
        <v>1.41891456709535</v>
      </c>
    </row>
    <row r="22" spans="1:26">
      <c r="A22" s="5" t="s">
        <v>43</v>
      </c>
      <c r="B22" s="24">
        <v>19.45</v>
      </c>
      <c r="C22" s="25">
        <f>1.03</f>
        <v>1.03</v>
      </c>
      <c r="D22" s="26">
        <v>57</v>
      </c>
      <c r="E22" s="5">
        <f>($V$2*R17*S17)*(1+$H$25/100)</f>
        <v>39617.5245098039</v>
      </c>
      <c r="F22" s="5">
        <f>($V$2*T17)*(1+$H$25/100)</f>
        <v>804554.25328175</v>
      </c>
      <c r="G22" s="27">
        <f>7000+8938</f>
        <v>15938</v>
      </c>
      <c r="H22" s="28">
        <f t="shared" si="0"/>
        <v>0.502870894799848</v>
      </c>
      <c r="I22" s="5">
        <f t="shared" si="1"/>
        <v>23679.5245098039</v>
      </c>
      <c r="J22" s="29">
        <f t="shared" si="2"/>
        <v>784477.519529358</v>
      </c>
      <c r="K22" s="38">
        <v>150</v>
      </c>
      <c r="L22" s="5">
        <f t="shared" si="4"/>
        <v>150</v>
      </c>
      <c r="M22" s="5">
        <f t="shared" si="5"/>
        <v>150</v>
      </c>
      <c r="N22" s="5">
        <f t="shared" si="6"/>
        <v>150</v>
      </c>
      <c r="P22" s="33">
        <v>25</v>
      </c>
      <c r="Q22" s="5" t="s">
        <v>23</v>
      </c>
      <c r="R22" s="31">
        <v>180</v>
      </c>
      <c r="S22" s="5">
        <f t="shared" si="10"/>
        <v>1.58009259259259</v>
      </c>
      <c r="T22" s="29">
        <f t="shared" si="11"/>
        <v>103.327148640833</v>
      </c>
      <c r="U22" s="30">
        <f t="shared" si="12"/>
        <v>1.58929426973338</v>
      </c>
    </row>
    <row r="23" spans="1:26">
      <c r="P23" s="5" t="s">
        <v>25</v>
      </c>
      <c r="Q23" s="5" t="s">
        <v>24</v>
      </c>
      <c r="R23" s="31">
        <v>160</v>
      </c>
      <c r="S23" s="5">
        <f t="shared" si="10"/>
        <v>1.559375</v>
      </c>
      <c r="T23" s="29">
        <f t="shared" si="11"/>
        <v>107.318294441606</v>
      </c>
      <c r="U23" s="30">
        <f t="shared" si="12"/>
        <v>1.65068283250973</v>
      </c>
    </row>
    <row r="24" spans="1:26">
      <c r="A24" s="5" t="s">
        <v>45</v>
      </c>
      <c r="D24" s="5" t="s">
        <v>46</v>
      </c>
      <c r="F24" s="5" t="s">
        <v>47</v>
      </c>
      <c r="H24" s="5" t="s">
        <v>48</v>
      </c>
      <c r="K24" s="5" t="s">
        <v>16</v>
      </c>
      <c r="P24" s="34">
        <v>268.5</v>
      </c>
      <c r="Q24" s="5" t="s">
        <v>26</v>
      </c>
      <c r="R24" s="31">
        <v>20</v>
      </c>
      <c r="S24" s="5">
        <f t="shared" si="10"/>
        <v>1.74583333333333</v>
      </c>
      <c r="T24" s="29">
        <f t="shared" si="11"/>
        <v>106.450308057481</v>
      </c>
      <c r="U24" s="30">
        <f t="shared" si="12"/>
        <v>1.63733217099781</v>
      </c>
    </row>
    <row r="25" spans="1:26">
      <c r="A25" s="39">
        <v>90</v>
      </c>
      <c r="B25" s="5" t="s">
        <v>49</v>
      </c>
      <c r="D25" s="5">
        <f>A26/100</f>
        <v>0.1</v>
      </c>
      <c r="F25" s="40">
        <v>50</v>
      </c>
      <c r="H25" s="41">
        <v>25</v>
      </c>
      <c r="K25" s="30">
        <f>SUM(K2:K22)</f>
        <v>420.776771864197</v>
      </c>
      <c r="L25" s="5">
        <f>SUM(L2:L22)</f>
        <v>411</v>
      </c>
      <c r="M25" s="5">
        <f>SUM(M2:M22)</f>
        <v>424</v>
      </c>
      <c r="N25" s="5">
        <f>SUM(N2:N22)</f>
        <v>428</v>
      </c>
      <c r="P25" s="5" t="s">
        <v>29</v>
      </c>
      <c r="Q25" s="5" t="s">
        <v>28</v>
      </c>
      <c r="R25" s="31">
        <v>24</v>
      </c>
      <c r="S25" s="5">
        <f t="shared" si="10"/>
        <v>1.62152777777778</v>
      </c>
      <c r="T25" s="29">
        <f t="shared" si="11"/>
        <v>159.668141604837</v>
      </c>
      <c r="U25" s="30">
        <f t="shared" si="12"/>
        <v>2.45588565879834</v>
      </c>
    </row>
    <row r="26" spans="1:26">
      <c r="A26" s="5">
        <f>100-A25</f>
        <v>10</v>
      </c>
      <c r="B26" s="5" t="s">
        <v>50</v>
      </c>
      <c r="P26" s="36">
        <v>0</v>
      </c>
      <c r="Q26" s="5" t="s">
        <v>31</v>
      </c>
      <c r="R26" s="31">
        <v>12</v>
      </c>
      <c r="S26" s="5">
        <f t="shared" si="10"/>
        <v>2.24305555555556</v>
      </c>
      <c r="T26" s="29">
        <f t="shared" si="11"/>
        <v>215.294630473549</v>
      </c>
      <c r="U26" s="30">
        <f t="shared" si="12"/>
        <v>3.31148712624747</v>
      </c>
    </row>
    <row r="27" spans="1:26">
      <c r="P27" s="5" t="s">
        <v>33</v>
      </c>
      <c r="Q27" s="5" t="s">
        <v>27</v>
      </c>
      <c r="R27" s="31">
        <v>12</v>
      </c>
      <c r="S27" s="5">
        <f t="shared" si="10"/>
        <v>2.24305555555556</v>
      </c>
      <c r="T27" s="29">
        <f t="shared" si="11"/>
        <v>391.559870550162</v>
      </c>
      <c r="U27" s="30">
        <f t="shared" si="12"/>
        <v>6.0226558722341</v>
      </c>
    </row>
    <row r="28" spans="1:26">
      <c r="P28" s="5">
        <f>(1.5*0.1)/(2.5*0.05)*0.6*P22/P24*100</f>
        <v>6.70391061452514</v>
      </c>
      <c r="Q28" s="5" t="s">
        <v>30</v>
      </c>
      <c r="R28" s="31">
        <v>36</v>
      </c>
      <c r="S28" s="5">
        <f t="shared" si="10"/>
        <v>1.8287037037037</v>
      </c>
      <c r="T28" s="29">
        <f t="shared" si="11"/>
        <v>491.753152983316</v>
      </c>
      <c r="U28" s="30">
        <f t="shared" si="12"/>
        <v>7.56374755754035</v>
      </c>
    </row>
    <row r="29" spans="1:26">
      <c r="Q29" s="5" t="s">
        <v>32</v>
      </c>
      <c r="R29" s="31">
        <v>130</v>
      </c>
      <c r="S29" s="5">
        <f t="shared" si="10"/>
        <v>1.57371794871795</v>
      </c>
      <c r="T29" s="29">
        <f t="shared" si="11"/>
        <v>106.6</v>
      </c>
      <c r="U29" s="30">
        <f t="shared" si="12"/>
        <v>1.63963461086574</v>
      </c>
    </row>
    <row r="30" spans="1:26">
      <c r="Q30" s="5" t="s">
        <v>34</v>
      </c>
      <c r="R30" s="31">
        <v>70</v>
      </c>
      <c r="S30" s="5">
        <f t="shared" si="10"/>
        <v>1.63928571428571</v>
      </c>
      <c r="T30" s="29">
        <f t="shared" si="11"/>
        <v>118.030769230769</v>
      </c>
      <c r="U30" s="30">
        <f t="shared" si="12"/>
        <v>1.81545341817895</v>
      </c>
    </row>
    <row r="31" spans="1:26">
      <c r="Q31" s="5" t="s">
        <v>35</v>
      </c>
      <c r="R31" s="31">
        <v>75</v>
      </c>
      <c r="S31" s="5">
        <f t="shared" si="10"/>
        <v>1.59666666666667</v>
      </c>
      <c r="T31" s="29">
        <f t="shared" si="11"/>
        <v>120</v>
      </c>
      <c r="U31" s="30">
        <f t="shared" si="12"/>
        <v>1.8457425263029</v>
      </c>
    </row>
    <row r="32" spans="1:26">
      <c r="Q32" s="5" t="s">
        <v>39</v>
      </c>
      <c r="R32" s="31">
        <v>162</v>
      </c>
      <c r="S32" s="5">
        <f t="shared" si="10"/>
        <v>1.55246913580247</v>
      </c>
      <c r="T32" s="29">
        <f t="shared" si="11"/>
        <v>224.64</v>
      </c>
      <c r="U32" s="30">
        <f t="shared" si="12"/>
        <v>3.45523000923903</v>
      </c>
    </row>
    <row r="33" spans="17:21">
      <c r="Q33" s="5" t="s">
        <v>41</v>
      </c>
      <c r="R33" s="31">
        <v>70</v>
      </c>
      <c r="S33" s="5">
        <f t="shared" si="10"/>
        <v>1.63928571428571</v>
      </c>
      <c r="T33" s="29">
        <f t="shared" si="11"/>
        <v>56</v>
      </c>
      <c r="U33" s="30">
        <f t="shared" si="12"/>
        <v>0.861346512274686</v>
      </c>
    </row>
    <row r="34" spans="17:21">
      <c r="Q34" s="5" t="s">
        <v>36</v>
      </c>
      <c r="R34" s="31">
        <v>0</v>
      </c>
      <c r="S34" s="5">
        <f>1</f>
        <v>1</v>
      </c>
      <c r="T34" s="29">
        <f t="shared" si="11"/>
        <v>0</v>
      </c>
      <c r="U34" s="30">
        <f t="shared" si="12"/>
        <v>0</v>
      </c>
    </row>
  </sheetData>
  <mergeCells count="1">
    <mergeCell ref="A24:B2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6"/>
  <sheetViews>
    <sheetView workbookViewId="0">
      <selection activeCell="A1" sqref="A1"/>
    </sheetView>
  </sheetViews>
  <sheetFormatPr defaultColWidth="8.72727272727273" defaultRowHeight="14"/>
  <cols>
    <col min="1" max="1" width="18.5454545454545" style="5" customWidth="1"/>
    <col min="2" max="3" width="7.54545454545455" style="5" customWidth="1"/>
    <col min="4" max="4" width="11.8181818181818" style="5" customWidth="1"/>
    <col min="5" max="6" width="12.8181818181818" style="5" customWidth="1"/>
    <col min="7" max="7" width="7.54545454545455" style="5" customWidth="1"/>
    <col min="8" max="8" width="9.54545454545454" style="5" customWidth="1"/>
    <col min="9" max="9" width="12.8181818181818" style="5" customWidth="1"/>
    <col min="10" max="10" width="14" style="5" customWidth="1"/>
    <col min="11" max="11" width="12.9090909090909" style="5" customWidth="1"/>
    <col min="12" max="13" width="6.54545454545455" style="5" customWidth="1"/>
    <col min="14" max="14" width="5.54545454545455" style="5" customWidth="1"/>
    <col min="15" max="15" width="4.72727272727273" style="5" customWidth="1"/>
    <col min="16" max="16" width="14" style="5" customWidth="1"/>
    <col min="17" max="17" width="18.5454545454545" style="5" customWidth="1"/>
    <col min="18" max="18" width="7.54545454545455" style="5" customWidth="1"/>
    <col min="19" max="19" width="8.54545454545454" style="5" customWidth="1"/>
    <col min="20" max="20" width="10.6363636363636" style="5" customWidth="1"/>
    <col min="21" max="21" width="11.8181818181818" style="5" customWidth="1"/>
    <col min="22" max="22" width="9.54545454545454" style="5" customWidth="1"/>
    <col min="23" max="23" width="5.44545454545455" style="5" customWidth="1"/>
    <col min="24" max="25" width="9.54545454545454" style="5" customWidth="1"/>
    <col min="26" max="26" width="12.9090909090909" style="5" customWidth="1"/>
    <col min="27" max="29" width="8.54545454545454" style="5" customWidth="1"/>
    <col min="30" max="16384" width="8.72727272727273" style="5" customWidth="1"/>
  </cols>
  <sheetData>
    <row r="1" s="5" customFormat="1" spans="1:2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R1" s="5" t="s">
        <v>14</v>
      </c>
      <c r="S1" s="5" t="s">
        <v>15</v>
      </c>
      <c r="T1" s="5" t="s">
        <v>9</v>
      </c>
      <c r="U1" s="5" t="s">
        <v>16</v>
      </c>
      <c r="V1" s="5" t="s">
        <v>17</v>
      </c>
    </row>
    <row r="2" s="5" customFormat="1" spans="1:24">
      <c r="A2" s="5" t="s">
        <v>18</v>
      </c>
      <c r="B2" s="24">
        <f>0.56*0.94</f>
        <v>0.5264</v>
      </c>
      <c r="C2" s="25">
        <f>1.05</f>
        <v>1.05</v>
      </c>
      <c r="D2" s="26">
        <f>65*1.04</f>
        <v>67.6</v>
      </c>
      <c r="E2" s="5">
        <f t="shared" ref="E2:E7" si="0">($V$2*R2*S2+$V$21*R22*S22)*(1+$H$25/100)</f>
        <v>282891.375</v>
      </c>
      <c r="F2" s="5">
        <f t="shared" ref="F2:F7" si="1">($V$2*T2+$V$21*T22)*(1+$H$25/100)</f>
        <v>109293.622634793</v>
      </c>
      <c r="G2" s="27">
        <f>277241-250*60-100*10</f>
        <v>261241</v>
      </c>
      <c r="H2" s="28">
        <f t="shared" ref="H2:H19" si="2">G2/E2*(1+$H$25/100)</f>
        <v>1.10816103884397</v>
      </c>
      <c r="I2" s="5">
        <f t="shared" ref="I2:I22" si="3">MAX(E2-G2,0)</f>
        <v>21650.375</v>
      </c>
      <c r="J2" s="29">
        <f t="shared" ref="J2:J22" si="4">I2*B2/C2/D2*100</f>
        <v>16056.2938856016</v>
      </c>
      <c r="K2" s="30">
        <f t="shared" ref="K2:K21" si="5">$K$22*J2/$J$22</f>
        <v>8.55975878591052</v>
      </c>
      <c r="L2" s="5">
        <f t="shared" ref="L2:L22" si="6">FLOOR(K2,1)</f>
        <v>8</v>
      </c>
      <c r="M2" s="5">
        <f t="shared" ref="M2:M22" si="7">ROUND(K2,0)</f>
        <v>9</v>
      </c>
      <c r="N2" s="5">
        <f t="shared" ref="N2:N22" si="8">CEILING(K2,1)</f>
        <v>9</v>
      </c>
      <c r="P2" s="5" t="s">
        <v>19</v>
      </c>
      <c r="Q2" s="5" t="s">
        <v>18</v>
      </c>
      <c r="R2" s="31">
        <v>1450</v>
      </c>
      <c r="S2" s="5">
        <f t="shared" ref="S2:S17" si="9">CEILING(R2/2*$P$11/100,1)*2/R2*$F$25/$P$11+1</f>
        <v>1.30291666666667</v>
      </c>
      <c r="T2" s="29">
        <f t="shared" ref="T2:T7" si="10">R2*B2/C2*(MAX(1,100/D2)*$D$25+1*(1-$D$25))</f>
        <v>730.417451676528</v>
      </c>
      <c r="U2" s="30">
        <f t="shared" ref="U2:U19" si="11">$U$20*T2/$T$20</f>
        <v>14.5912111531544</v>
      </c>
      <c r="V2" s="32">
        <v>60</v>
      </c>
      <c r="X2" s="29"/>
    </row>
    <row r="3" s="5" customFormat="1" spans="1:24">
      <c r="A3" s="5" t="s">
        <v>20</v>
      </c>
      <c r="B3" s="24">
        <f>0.27*0.97</f>
        <v>0.2619</v>
      </c>
      <c r="C3" s="25">
        <f>1</f>
        <v>1</v>
      </c>
      <c r="D3" s="26">
        <f>75</f>
        <v>75</v>
      </c>
      <c r="E3" s="5">
        <f t="shared" si="0"/>
        <v>360058</v>
      </c>
      <c r="F3" s="5">
        <f t="shared" si="1"/>
        <v>72566.340588</v>
      </c>
      <c r="G3" s="27">
        <f>357085-250*60-100*10</f>
        <v>341085</v>
      </c>
      <c r="H3" s="28">
        <f t="shared" si="2"/>
        <v>1.13676685422904</v>
      </c>
      <c r="I3" s="5">
        <f t="shared" si="3"/>
        <v>18973.0000000001</v>
      </c>
      <c r="J3" s="29">
        <f t="shared" si="4"/>
        <v>6625.37160000002</v>
      </c>
      <c r="K3" s="30">
        <f t="shared" si="5"/>
        <v>3.53204688249249</v>
      </c>
      <c r="L3" s="5">
        <f t="shared" si="6"/>
        <v>3</v>
      </c>
      <c r="M3" s="5">
        <f t="shared" si="7"/>
        <v>4</v>
      </c>
      <c r="N3" s="5">
        <f t="shared" si="8"/>
        <v>4</v>
      </c>
      <c r="Q3" s="5" t="s">
        <v>20</v>
      </c>
      <c r="R3" s="31">
        <v>1755</v>
      </c>
      <c r="S3" s="5">
        <f t="shared" si="9"/>
        <v>1.30205365622032</v>
      </c>
      <c r="T3" s="29">
        <f t="shared" si="10"/>
        <v>461.166615</v>
      </c>
      <c r="U3" s="30">
        <f t="shared" si="11"/>
        <v>9.21251188728503</v>
      </c>
      <c r="X3" s="29"/>
    </row>
    <row r="4" s="5" customFormat="1" spans="1:24">
      <c r="A4" s="5" t="s">
        <v>21</v>
      </c>
      <c r="B4" s="24">
        <v>0.75</v>
      </c>
      <c r="C4" s="25">
        <f>1</f>
        <v>1</v>
      </c>
      <c r="D4" s="26">
        <f>80</f>
        <v>80</v>
      </c>
      <c r="E4" s="5">
        <f t="shared" si="0"/>
        <v>26554.25</v>
      </c>
      <c r="F4" s="5">
        <f t="shared" si="1"/>
        <v>15049.53</v>
      </c>
      <c r="G4" s="27">
        <f>22379</f>
        <v>22379</v>
      </c>
      <c r="H4" s="28">
        <f t="shared" si="2"/>
        <v>1.01131833887231</v>
      </c>
      <c r="I4" s="5">
        <f t="shared" si="3"/>
        <v>4175.25</v>
      </c>
      <c r="J4" s="29">
        <f t="shared" si="4"/>
        <v>3914.296875</v>
      </c>
      <c r="K4" s="30">
        <f t="shared" si="5"/>
        <v>2.08674787003551</v>
      </c>
      <c r="L4" s="5">
        <f t="shared" si="6"/>
        <v>2</v>
      </c>
      <c r="M4" s="5">
        <f t="shared" si="7"/>
        <v>2</v>
      </c>
      <c r="N4" s="5">
        <f t="shared" si="8"/>
        <v>3</v>
      </c>
      <c r="P4" s="5" t="s">
        <v>22</v>
      </c>
      <c r="Q4" s="5" t="s">
        <v>21</v>
      </c>
      <c r="R4" s="31">
        <v>132</v>
      </c>
      <c r="S4" s="5">
        <f t="shared" si="9"/>
        <v>1.34422348484848</v>
      </c>
      <c r="T4" s="29">
        <f t="shared" si="10"/>
        <v>99.2475</v>
      </c>
      <c r="U4" s="30">
        <f t="shared" si="11"/>
        <v>1.98262134290298</v>
      </c>
      <c r="X4" s="29"/>
    </row>
    <row r="5" s="5" customFormat="1" spans="1:24">
      <c r="A5" s="5" t="s">
        <v>23</v>
      </c>
      <c r="B5" s="24">
        <f>0.6*0.94</f>
        <v>0.564</v>
      </c>
      <c r="C5" s="25">
        <f>1.05</f>
        <v>1.05</v>
      </c>
      <c r="D5" s="26">
        <f>57*1.04</f>
        <v>59.28</v>
      </c>
      <c r="E5" s="5">
        <f t="shared" si="0"/>
        <v>39286.125</v>
      </c>
      <c r="F5" s="5">
        <f t="shared" si="1"/>
        <v>16237.9562679005</v>
      </c>
      <c r="G5" s="27">
        <f>38706-36*60</f>
        <v>36546</v>
      </c>
      <c r="H5" s="28">
        <f t="shared" si="2"/>
        <v>1.11630251138284</v>
      </c>
      <c r="I5" s="5">
        <f t="shared" si="3"/>
        <v>2740.125</v>
      </c>
      <c r="J5" s="29">
        <f t="shared" si="4"/>
        <v>2482.85858877964</v>
      </c>
      <c r="K5" s="30">
        <f t="shared" si="5"/>
        <v>1.32363487931285</v>
      </c>
      <c r="L5" s="5">
        <f t="shared" si="6"/>
        <v>1</v>
      </c>
      <c r="M5" s="5">
        <f t="shared" si="7"/>
        <v>1</v>
      </c>
      <c r="N5" s="5">
        <f t="shared" si="8"/>
        <v>2</v>
      </c>
      <c r="P5" s="33">
        <v>20</v>
      </c>
      <c r="Q5" s="5" t="s">
        <v>23</v>
      </c>
      <c r="R5" s="31">
        <v>198</v>
      </c>
      <c r="S5" s="5">
        <f t="shared" si="9"/>
        <v>1.30597643097643</v>
      </c>
      <c r="T5" s="29">
        <f t="shared" si="10"/>
        <v>107.084843493349</v>
      </c>
      <c r="U5" s="30">
        <f t="shared" si="11"/>
        <v>2.13918432415263</v>
      </c>
      <c r="X5" s="29"/>
    </row>
    <row r="6" s="5" customFormat="1" spans="1:24">
      <c r="A6" s="5" t="s">
        <v>24</v>
      </c>
      <c r="B6" s="24">
        <f>0.7*0.94</f>
        <v>0.658</v>
      </c>
      <c r="C6" s="25">
        <f>1.05</f>
        <v>1.05</v>
      </c>
      <c r="D6" s="26">
        <f>57*1.03</f>
        <v>58.71</v>
      </c>
      <c r="E6" s="5">
        <f t="shared" si="0"/>
        <v>35950.125</v>
      </c>
      <c r="F6" s="5">
        <f t="shared" si="1"/>
        <v>16842.101151286</v>
      </c>
      <c r="G6" s="27">
        <f>35079-32*60</f>
        <v>33159</v>
      </c>
      <c r="H6" s="28">
        <f t="shared" si="2"/>
        <v>1.10683342547488</v>
      </c>
      <c r="I6" s="5">
        <f t="shared" si="3"/>
        <v>2791.125</v>
      </c>
      <c r="J6" s="29">
        <f t="shared" si="4"/>
        <v>2979.22841083291</v>
      </c>
      <c r="K6" s="30">
        <f t="shared" si="5"/>
        <v>1.58825422270886</v>
      </c>
      <c r="L6" s="5">
        <f t="shared" si="6"/>
        <v>1</v>
      </c>
      <c r="M6" s="5">
        <f t="shared" si="7"/>
        <v>2</v>
      </c>
      <c r="N6" s="5">
        <f t="shared" si="8"/>
        <v>2</v>
      </c>
      <c r="P6" s="5" t="s">
        <v>25</v>
      </c>
      <c r="Q6" s="5" t="s">
        <v>24</v>
      </c>
      <c r="R6" s="31">
        <v>176</v>
      </c>
      <c r="S6" s="5">
        <f t="shared" si="9"/>
        <v>1.34422348484848</v>
      </c>
      <c r="T6" s="29">
        <f t="shared" si="10"/>
        <v>111.069012388577</v>
      </c>
      <c r="U6" s="30">
        <f t="shared" si="11"/>
        <v>2.21877422098035</v>
      </c>
      <c r="X6" s="29"/>
    </row>
    <row r="7" s="5" customFormat="1" spans="1:24">
      <c r="A7" s="5" t="s">
        <v>26</v>
      </c>
      <c r="B7" s="24">
        <f>5.25*0.97</f>
        <v>5.0925</v>
      </c>
      <c r="C7" s="25">
        <f>1.03</f>
        <v>1.03</v>
      </c>
      <c r="D7" s="26">
        <f>55*1.03</f>
        <v>56.65</v>
      </c>
      <c r="E7" s="5">
        <f t="shared" si="0"/>
        <v>5243.1875</v>
      </c>
      <c r="F7" s="5">
        <f t="shared" si="1"/>
        <v>16619.9814296609</v>
      </c>
      <c r="G7" s="27">
        <f>5024-4*60</f>
        <v>4784</v>
      </c>
      <c r="H7" s="28">
        <f t="shared" si="2"/>
        <v>1.09490648579705</v>
      </c>
      <c r="I7" s="5">
        <f t="shared" si="3"/>
        <v>459.187499999999</v>
      </c>
      <c r="J7" s="29">
        <f t="shared" si="4"/>
        <v>4007.59619833931</v>
      </c>
      <c r="K7" s="30">
        <f t="shared" si="5"/>
        <v>2.1364866022961</v>
      </c>
      <c r="L7" s="5">
        <f t="shared" si="6"/>
        <v>2</v>
      </c>
      <c r="M7" s="5">
        <f t="shared" si="7"/>
        <v>2</v>
      </c>
      <c r="N7" s="5">
        <f t="shared" si="8"/>
        <v>3</v>
      </c>
      <c r="P7" s="34">
        <v>363.5</v>
      </c>
      <c r="Q7" s="5" t="s">
        <v>26</v>
      </c>
      <c r="R7" s="31">
        <v>22</v>
      </c>
      <c r="S7" s="5">
        <f t="shared" si="9"/>
        <v>1.68844696969697</v>
      </c>
      <c r="T7" s="29">
        <f t="shared" si="10"/>
        <v>109.604194080498</v>
      </c>
      <c r="U7" s="30">
        <f t="shared" si="11"/>
        <v>2.18951222404267</v>
      </c>
      <c r="X7" s="29"/>
    </row>
    <row r="8" s="5" customFormat="1" spans="1:24">
      <c r="A8" s="5" t="s">
        <v>28</v>
      </c>
      <c r="B8" s="24">
        <f>6*0.97</f>
        <v>5.82</v>
      </c>
      <c r="C8" s="35">
        <f>1.03</f>
        <v>1.03</v>
      </c>
      <c r="D8" s="26">
        <f>35*1.03</f>
        <v>36.05</v>
      </c>
      <c r="E8" s="5">
        <f>($V$21*R28*S28)*(1+$H$25/100)</f>
        <v>2919.0875</v>
      </c>
      <c r="F8" s="5">
        <f>($V$21*T28)*(1+$H$25/100)</f>
        <v>12090.3154447302</v>
      </c>
      <c r="G8" s="27">
        <v>3284</v>
      </c>
      <c r="H8" s="28">
        <f t="shared" si="2"/>
        <v>1.35001091950824</v>
      </c>
      <c r="I8" s="5">
        <f t="shared" si="3"/>
        <v>0</v>
      </c>
      <c r="J8" s="29">
        <f t="shared" si="4"/>
        <v>0</v>
      </c>
      <c r="K8" s="30">
        <f t="shared" si="5"/>
        <v>0</v>
      </c>
      <c r="L8" s="5">
        <f t="shared" si="6"/>
        <v>0</v>
      </c>
      <c r="M8" s="5">
        <f t="shared" si="7"/>
        <v>0</v>
      </c>
      <c r="N8" s="5">
        <f t="shared" si="8"/>
        <v>0</v>
      </c>
      <c r="P8" s="5" t="s">
        <v>29</v>
      </c>
      <c r="Q8" s="5" t="s">
        <v>27</v>
      </c>
      <c r="R8" s="31">
        <v>12</v>
      </c>
      <c r="S8" s="5">
        <f t="shared" si="9"/>
        <v>2.26215277777778</v>
      </c>
      <c r="T8" s="29">
        <f t="shared" ref="T8:T19" si="12">R8*B10/C10*(MAX(1,100/D10)*$D$25+1*(1-$D$25))</f>
        <v>327.155987055016</v>
      </c>
      <c r="U8" s="30">
        <f t="shared" si="11"/>
        <v>6.5354436373084</v>
      </c>
      <c r="X8" s="29"/>
    </row>
    <row r="9" s="5" customFormat="1" spans="1:24">
      <c r="A9" s="5" t="s">
        <v>31</v>
      </c>
      <c r="B9" s="24">
        <f>16*1</f>
        <v>16</v>
      </c>
      <c r="C9" s="35">
        <f>1.05</f>
        <v>1.05</v>
      </c>
      <c r="D9" s="26">
        <f>35*1.03</f>
        <v>36.05</v>
      </c>
      <c r="E9" s="5">
        <f>($V$21*R29*S29)*(1+$H$25/100)</f>
        <v>1867.8875</v>
      </c>
      <c r="F9" s="5">
        <f>($V$21*T29)*(1+$H$25/100)</f>
        <v>16302.4381058054</v>
      </c>
      <c r="G9" s="27">
        <v>2298</v>
      </c>
      <c r="H9" s="28">
        <f t="shared" si="2"/>
        <v>1.47632017452871</v>
      </c>
      <c r="I9" s="5">
        <f t="shared" si="3"/>
        <v>0</v>
      </c>
      <c r="J9" s="29">
        <f t="shared" si="4"/>
        <v>0</v>
      </c>
      <c r="K9" s="30">
        <f t="shared" si="5"/>
        <v>0</v>
      </c>
      <c r="L9" s="5">
        <f t="shared" si="6"/>
        <v>0</v>
      </c>
      <c r="M9" s="5">
        <f t="shared" si="7"/>
        <v>0</v>
      </c>
      <c r="N9" s="5">
        <f t="shared" si="8"/>
        <v>0</v>
      </c>
      <c r="P9" s="36">
        <v>0</v>
      </c>
      <c r="Q9" s="5" t="s">
        <v>30</v>
      </c>
      <c r="R9" s="31">
        <v>36</v>
      </c>
      <c r="S9" s="5">
        <f t="shared" si="9"/>
        <v>1.42071759259259</v>
      </c>
      <c r="T9" s="29">
        <f t="shared" si="12"/>
        <v>445.839392968235</v>
      </c>
      <c r="U9" s="30">
        <f t="shared" si="11"/>
        <v>8.90632707126859</v>
      </c>
      <c r="X9" s="29"/>
    </row>
    <row r="10" s="5" customFormat="1" spans="1:24">
      <c r="A10" s="5" t="s">
        <v>27</v>
      </c>
      <c r="B10" s="24">
        <f>28*1</f>
        <v>28</v>
      </c>
      <c r="C10" s="35">
        <f>1.05</f>
        <v>1.05</v>
      </c>
      <c r="D10" s="26">
        <f>30*1.03</f>
        <v>30.9</v>
      </c>
      <c r="E10" s="5">
        <f>($V$2*R8*S8+$V$21*R30*S30)*(1+$H$25/100)</f>
        <v>3822.3875</v>
      </c>
      <c r="F10" s="5">
        <f>($V$2*T8+$V$21*T30)*(1+$H$25/100)</f>
        <v>52214.0955339806</v>
      </c>
      <c r="G10" s="27">
        <v>3948</v>
      </c>
      <c r="H10" s="28">
        <f t="shared" si="2"/>
        <v>1.23943477734793</v>
      </c>
      <c r="I10" s="5">
        <f t="shared" si="3"/>
        <v>0</v>
      </c>
      <c r="J10" s="29">
        <f t="shared" si="4"/>
        <v>0</v>
      </c>
      <c r="K10" s="30">
        <f t="shared" si="5"/>
        <v>0</v>
      </c>
      <c r="L10" s="5">
        <f t="shared" si="6"/>
        <v>0</v>
      </c>
      <c r="M10" s="5">
        <f t="shared" si="7"/>
        <v>0</v>
      </c>
      <c r="N10" s="5">
        <f t="shared" si="8"/>
        <v>0</v>
      </c>
      <c r="P10" s="5" t="s">
        <v>33</v>
      </c>
      <c r="Q10" s="5" t="s">
        <v>32</v>
      </c>
      <c r="R10" s="31">
        <v>141</v>
      </c>
      <c r="S10" s="5">
        <f t="shared" si="9"/>
        <v>1.32225177304965</v>
      </c>
      <c r="T10" s="29">
        <f t="shared" si="12"/>
        <v>113.082</v>
      </c>
      <c r="U10" s="30">
        <f t="shared" si="11"/>
        <v>2.25898674221673</v>
      </c>
      <c r="X10" s="29"/>
    </row>
    <row r="11" s="5" customFormat="1" spans="1:24">
      <c r="A11" s="5" t="s">
        <v>30</v>
      </c>
      <c r="B11" s="24">
        <f>13*0.97</f>
        <v>12.61</v>
      </c>
      <c r="C11" s="35">
        <f>1.03</f>
        <v>1.03</v>
      </c>
      <c r="D11" s="26">
        <f>45*1.03</f>
        <v>46.35</v>
      </c>
      <c r="E11" s="5">
        <f>($V$2*R9*S9)*(1+$H$25/100)</f>
        <v>3682.5</v>
      </c>
      <c r="F11" s="5">
        <f>($V$2*T9)*(1+$H$25/100)</f>
        <v>32100.4362937129</v>
      </c>
      <c r="G11" s="27">
        <v>3344</v>
      </c>
      <c r="H11" s="28">
        <f t="shared" si="2"/>
        <v>1.08969450101833</v>
      </c>
      <c r="I11" s="5">
        <f t="shared" si="3"/>
        <v>338.5</v>
      </c>
      <c r="J11" s="29">
        <f t="shared" si="4"/>
        <v>8941.01444266399</v>
      </c>
      <c r="K11" s="30">
        <f t="shared" si="5"/>
        <v>4.7665375008598</v>
      </c>
      <c r="L11" s="5">
        <f t="shared" si="6"/>
        <v>4</v>
      </c>
      <c r="M11" s="5">
        <f t="shared" si="7"/>
        <v>5</v>
      </c>
      <c r="N11" s="5">
        <f t="shared" si="8"/>
        <v>5</v>
      </c>
      <c r="P11" s="5">
        <f>(1.5*0.1)/(2.5*0.05)*0.6*P5/P7*100</f>
        <v>3.96148555708391</v>
      </c>
      <c r="Q11" s="5" t="s">
        <v>34</v>
      </c>
      <c r="R11" s="31">
        <v>170</v>
      </c>
      <c r="S11" s="5">
        <f t="shared" si="9"/>
        <v>1.35637254901961</v>
      </c>
      <c r="T11" s="29">
        <f t="shared" si="12"/>
        <v>273.464615384615</v>
      </c>
      <c r="U11" s="30">
        <f t="shared" si="11"/>
        <v>5.46287597158913</v>
      </c>
      <c r="X11" s="29"/>
    </row>
    <row r="12" s="5" customFormat="1" spans="1:24">
      <c r="A12" s="5" t="s">
        <v>32</v>
      </c>
      <c r="B12" s="24">
        <v>0.8</v>
      </c>
      <c r="C12" s="25">
        <f t="shared" ref="C12:C21" si="13">1</f>
        <v>1</v>
      </c>
      <c r="D12" s="26">
        <f>80</f>
        <v>80</v>
      </c>
      <c r="E12" s="5">
        <f t="shared" ref="E12:E17" si="14">($V$2*R10*S10+$V$21*R31*S31)*(1+$H$25/100)</f>
        <v>28894.9375</v>
      </c>
      <c r="F12" s="5">
        <f t="shared" ref="F12:F17" si="15">($V$2*T10+$V$21*T31)*(1+$H$25/100)</f>
        <v>318612.93571521</v>
      </c>
      <c r="G12" s="27">
        <v>19092</v>
      </c>
      <c r="H12" s="28">
        <f t="shared" si="2"/>
        <v>0.792886297123848</v>
      </c>
      <c r="I12" s="5">
        <f t="shared" si="3"/>
        <v>9802.9375</v>
      </c>
      <c r="J12" s="29">
        <f t="shared" si="4"/>
        <v>9802.9375</v>
      </c>
      <c r="K12" s="30">
        <f t="shared" si="5"/>
        <v>5.22603665523358</v>
      </c>
      <c r="L12" s="5">
        <f t="shared" si="6"/>
        <v>5</v>
      </c>
      <c r="M12" s="5">
        <f t="shared" si="7"/>
        <v>5</v>
      </c>
      <c r="N12" s="5">
        <f t="shared" si="8"/>
        <v>6</v>
      </c>
      <c r="Q12" s="5" t="s">
        <v>35</v>
      </c>
      <c r="R12" s="31">
        <v>100</v>
      </c>
      <c r="S12" s="5">
        <f t="shared" si="9"/>
        <v>1.30291666666667</v>
      </c>
      <c r="T12" s="29">
        <f t="shared" si="12"/>
        <v>151</v>
      </c>
      <c r="U12" s="30">
        <f t="shared" si="11"/>
        <v>3.01645706721428</v>
      </c>
      <c r="X12" s="29"/>
    </row>
    <row r="13" s="5" customFormat="1" spans="1:24">
      <c r="A13" s="5" t="s">
        <v>34</v>
      </c>
      <c r="B13" s="24">
        <v>1.6</v>
      </c>
      <c r="C13" s="25">
        <f t="shared" si="13"/>
        <v>1</v>
      </c>
      <c r="D13" s="26">
        <f>65</f>
        <v>65</v>
      </c>
      <c r="E13" s="5">
        <f t="shared" si="14"/>
        <v>25184.0625</v>
      </c>
      <c r="F13" s="5">
        <f t="shared" si="15"/>
        <v>95630.7622432816</v>
      </c>
      <c r="G13" s="27">
        <v>25793</v>
      </c>
      <c r="H13" s="28">
        <f t="shared" si="2"/>
        <v>1.22901537430667</v>
      </c>
      <c r="I13" s="5">
        <f t="shared" si="3"/>
        <v>0</v>
      </c>
      <c r="J13" s="29">
        <f t="shared" si="4"/>
        <v>0</v>
      </c>
      <c r="K13" s="30">
        <f t="shared" si="5"/>
        <v>0</v>
      </c>
      <c r="L13" s="5">
        <f t="shared" si="6"/>
        <v>0</v>
      </c>
      <c r="M13" s="5">
        <f t="shared" si="7"/>
        <v>0</v>
      </c>
      <c r="N13" s="5">
        <f t="shared" si="8"/>
        <v>0</v>
      </c>
      <c r="Q13" s="5" t="s">
        <v>39</v>
      </c>
      <c r="R13" s="31">
        <v>78</v>
      </c>
      <c r="S13" s="5">
        <f t="shared" si="9"/>
        <v>1.3883547008547</v>
      </c>
      <c r="T13" s="29">
        <f t="shared" si="12"/>
        <v>102.076</v>
      </c>
      <c r="U13" s="30">
        <f t="shared" si="11"/>
        <v>2.03912497743686</v>
      </c>
      <c r="X13" s="29"/>
    </row>
    <row r="14" s="5" customFormat="1" spans="1:24">
      <c r="A14" s="5" t="s">
        <v>35</v>
      </c>
      <c r="B14" s="24">
        <v>1.5</v>
      </c>
      <c r="C14" s="25">
        <f t="shared" si="13"/>
        <v>1</v>
      </c>
      <c r="D14" s="26">
        <f>60</f>
        <v>60</v>
      </c>
      <c r="E14" s="5">
        <f t="shared" si="14"/>
        <v>18401.0625</v>
      </c>
      <c r="F14" s="5">
        <f t="shared" si="15"/>
        <v>16141.14</v>
      </c>
      <c r="G14" s="27">
        <v>23333</v>
      </c>
      <c r="H14" s="28">
        <f t="shared" si="2"/>
        <v>1.52162952546898</v>
      </c>
      <c r="I14" s="5">
        <f t="shared" si="3"/>
        <v>0</v>
      </c>
      <c r="J14" s="29">
        <f t="shared" si="4"/>
        <v>0</v>
      </c>
      <c r="K14" s="30">
        <f t="shared" si="5"/>
        <v>0</v>
      </c>
      <c r="L14" s="5">
        <f t="shared" si="6"/>
        <v>0</v>
      </c>
      <c r="M14" s="5">
        <f t="shared" si="7"/>
        <v>0</v>
      </c>
      <c r="N14" s="5">
        <f t="shared" si="8"/>
        <v>0</v>
      </c>
      <c r="Q14" s="5" t="s">
        <v>41</v>
      </c>
      <c r="R14" s="31">
        <v>10</v>
      </c>
      <c r="S14" s="5">
        <f t="shared" si="9"/>
        <v>2.51458333333333</v>
      </c>
      <c r="T14" s="29">
        <f t="shared" si="12"/>
        <v>7.55</v>
      </c>
      <c r="U14" s="30">
        <f t="shared" si="11"/>
        <v>0.150822853360714</v>
      </c>
      <c r="X14" s="29"/>
    </row>
    <row r="15" s="5" customFormat="1" spans="1:24">
      <c r="A15" s="5" t="s">
        <v>39</v>
      </c>
      <c r="B15" s="24">
        <v>1.3</v>
      </c>
      <c r="C15" s="25">
        <f t="shared" si="13"/>
        <v>1</v>
      </c>
      <c r="D15" s="26">
        <f>60</f>
        <v>60</v>
      </c>
      <c r="E15" s="5">
        <f t="shared" si="14"/>
        <v>27063.525</v>
      </c>
      <c r="F15" s="5">
        <f t="shared" si="15"/>
        <v>30459.4840615385</v>
      </c>
      <c r="G15" s="27">
        <v>28332</v>
      </c>
      <c r="H15" s="28">
        <f t="shared" si="2"/>
        <v>1.25624433624223</v>
      </c>
      <c r="I15" s="5">
        <f t="shared" si="3"/>
        <v>0</v>
      </c>
      <c r="J15" s="29">
        <f t="shared" si="4"/>
        <v>0</v>
      </c>
      <c r="K15" s="30">
        <f t="shared" si="5"/>
        <v>0</v>
      </c>
      <c r="L15" s="5">
        <f t="shared" si="6"/>
        <v>0</v>
      </c>
      <c r="M15" s="5">
        <f t="shared" si="7"/>
        <v>0</v>
      </c>
      <c r="N15" s="5">
        <f t="shared" si="8"/>
        <v>0</v>
      </c>
      <c r="Q15" s="5" t="s">
        <v>36</v>
      </c>
      <c r="R15" s="31">
        <v>30</v>
      </c>
      <c r="S15" s="5">
        <f t="shared" si="9"/>
        <v>1.50486111111111</v>
      </c>
      <c r="T15" s="29">
        <f t="shared" si="12"/>
        <v>83.3271554828151</v>
      </c>
      <c r="U15" s="30">
        <f t="shared" si="11"/>
        <v>1.66458799368875</v>
      </c>
      <c r="X15" s="29"/>
    </row>
    <row r="16" s="5" customFormat="1" spans="1:24">
      <c r="A16" s="5" t="s">
        <v>41</v>
      </c>
      <c r="B16" s="24">
        <v>0.75</v>
      </c>
      <c r="C16" s="25">
        <f t="shared" si="13"/>
        <v>1</v>
      </c>
      <c r="D16" s="26">
        <f>60</f>
        <v>60</v>
      </c>
      <c r="E16" s="5">
        <f t="shared" si="14"/>
        <v>10392.5625</v>
      </c>
      <c r="F16" s="5">
        <f t="shared" si="15"/>
        <v>9802.92</v>
      </c>
      <c r="G16" s="27">
        <v>45655</v>
      </c>
      <c r="H16" s="28">
        <f t="shared" si="2"/>
        <v>5.27165460876468</v>
      </c>
      <c r="I16" s="5">
        <f t="shared" si="3"/>
        <v>0</v>
      </c>
      <c r="J16" s="29">
        <f t="shared" si="4"/>
        <v>0</v>
      </c>
      <c r="K16" s="30">
        <f t="shared" si="5"/>
        <v>0</v>
      </c>
      <c r="L16" s="5">
        <f t="shared" si="6"/>
        <v>0</v>
      </c>
      <c r="M16" s="5">
        <f t="shared" si="7"/>
        <v>0</v>
      </c>
      <c r="N16" s="5">
        <f t="shared" si="8"/>
        <v>0</v>
      </c>
      <c r="Q16" s="5" t="s">
        <v>37</v>
      </c>
      <c r="R16" s="31">
        <v>30</v>
      </c>
      <c r="S16" s="5">
        <f t="shared" si="9"/>
        <v>1.50486111111111</v>
      </c>
      <c r="T16" s="29">
        <f t="shared" si="12"/>
        <v>83.5735473887814</v>
      </c>
      <c r="U16" s="30">
        <f t="shared" si="11"/>
        <v>1.6695100506825</v>
      </c>
      <c r="X16" s="29"/>
    </row>
    <row r="17" s="5" customFormat="1" spans="1:24">
      <c r="A17" s="5" t="s">
        <v>36</v>
      </c>
      <c r="B17" s="24">
        <f>3*0.92</f>
        <v>2.76</v>
      </c>
      <c r="C17" s="25">
        <f t="shared" si="13"/>
        <v>1</v>
      </c>
      <c r="D17" s="26">
        <f>65*0.94</f>
        <v>61.1</v>
      </c>
      <c r="E17" s="5">
        <f t="shared" si="14"/>
        <v>3250.5</v>
      </c>
      <c r="F17" s="5">
        <f t="shared" si="15"/>
        <v>5999.55519476268</v>
      </c>
      <c r="G17" s="27">
        <v>3566</v>
      </c>
      <c r="H17" s="28">
        <f t="shared" si="2"/>
        <v>1.31647438855561</v>
      </c>
      <c r="I17" s="5">
        <f t="shared" si="3"/>
        <v>0</v>
      </c>
      <c r="J17" s="29">
        <f t="shared" si="4"/>
        <v>0</v>
      </c>
      <c r="K17" s="30">
        <f t="shared" si="5"/>
        <v>0</v>
      </c>
      <c r="L17" s="5">
        <f t="shared" si="6"/>
        <v>0</v>
      </c>
      <c r="M17" s="5">
        <f t="shared" si="7"/>
        <v>0</v>
      </c>
      <c r="N17" s="5">
        <f t="shared" si="8"/>
        <v>0</v>
      </c>
      <c r="Q17" s="5" t="s">
        <v>38</v>
      </c>
      <c r="R17" s="31">
        <v>135</v>
      </c>
      <c r="S17" s="5">
        <f t="shared" si="9"/>
        <v>1.33657407407407</v>
      </c>
      <c r="T17" s="29">
        <f t="shared" si="12"/>
        <v>625.800638297872</v>
      </c>
      <c r="U17" s="30">
        <f t="shared" si="11"/>
        <v>12.5013295235816</v>
      </c>
      <c r="X17" s="29"/>
    </row>
    <row r="18" s="5" customFormat="1" spans="1:24">
      <c r="A18" s="5" t="s">
        <v>37</v>
      </c>
      <c r="B18" s="24">
        <f>3*0.92</f>
        <v>2.76</v>
      </c>
      <c r="C18" s="25">
        <f t="shared" si="13"/>
        <v>1</v>
      </c>
      <c r="D18" s="26">
        <f>55*0.94</f>
        <v>51.7</v>
      </c>
      <c r="E18" s="5">
        <f>($V$2*R16*S16)*(1+$H$25/100)</f>
        <v>3250.5</v>
      </c>
      <c r="F18" s="5">
        <f>($V$2*T16)*(1+$H$25/100)</f>
        <v>6017.29541199226</v>
      </c>
      <c r="G18" s="27">
        <v>3599</v>
      </c>
      <c r="H18" s="28">
        <f t="shared" si="2"/>
        <v>1.32865712967236</v>
      </c>
      <c r="I18" s="5">
        <f t="shared" si="3"/>
        <v>0</v>
      </c>
      <c r="J18" s="29">
        <f t="shared" si="4"/>
        <v>0</v>
      </c>
      <c r="K18" s="30">
        <f t="shared" si="5"/>
        <v>0</v>
      </c>
      <c r="L18" s="5">
        <f t="shared" si="6"/>
        <v>0</v>
      </c>
      <c r="M18" s="5">
        <f t="shared" si="7"/>
        <v>0</v>
      </c>
      <c r="N18" s="5">
        <f t="shared" si="8"/>
        <v>0</v>
      </c>
      <c r="Q18" s="5" t="s">
        <v>40</v>
      </c>
      <c r="R18" s="31">
        <v>0</v>
      </c>
      <c r="S18" s="5">
        <f>1</f>
        <v>1</v>
      </c>
      <c r="T18" s="29">
        <f t="shared" si="12"/>
        <v>0</v>
      </c>
      <c r="U18" s="30">
        <f t="shared" si="11"/>
        <v>0</v>
      </c>
      <c r="X18" s="29"/>
    </row>
    <row r="19" s="5" customFormat="1" spans="1:24">
      <c r="A19" s="5" t="s">
        <v>38</v>
      </c>
      <c r="B19" s="24">
        <f>5*0.92</f>
        <v>4.6</v>
      </c>
      <c r="C19" s="25">
        <f t="shared" si="13"/>
        <v>1</v>
      </c>
      <c r="D19" s="26">
        <f>60*0.94</f>
        <v>56.4</v>
      </c>
      <c r="E19" s="5">
        <f>($V$2*R17*S17)*(1+$H$25/100)</f>
        <v>12991.5</v>
      </c>
      <c r="F19" s="5">
        <f>($V$2*T17)*(1+$H$25/100)</f>
        <v>45057.6459574468</v>
      </c>
      <c r="G19" s="27">
        <v>12417</v>
      </c>
      <c r="H19" s="28">
        <f t="shared" si="2"/>
        <v>1.14693453411846</v>
      </c>
      <c r="I19" s="5">
        <f t="shared" si="3"/>
        <v>574.5</v>
      </c>
      <c r="J19" s="29">
        <f t="shared" si="4"/>
        <v>4685.63829787234</v>
      </c>
      <c r="K19" s="30">
        <f t="shared" si="5"/>
        <v>2.49795711722605</v>
      </c>
      <c r="L19" s="5">
        <f t="shared" si="6"/>
        <v>2</v>
      </c>
      <c r="M19" s="5">
        <f t="shared" si="7"/>
        <v>2</v>
      </c>
      <c r="N19" s="5">
        <f t="shared" si="8"/>
        <v>3</v>
      </c>
      <c r="Q19" s="5" t="s">
        <v>42</v>
      </c>
      <c r="R19" s="31">
        <v>0</v>
      </c>
      <c r="S19" s="5">
        <f>1</f>
        <v>1</v>
      </c>
      <c r="T19" s="29">
        <f t="shared" si="12"/>
        <v>0</v>
      </c>
      <c r="U19" s="30">
        <f t="shared" si="11"/>
        <v>0</v>
      </c>
      <c r="X19" s="29"/>
    </row>
    <row r="20" s="5" customFormat="1" spans="1:24">
      <c r="A20" s="5" t="s">
        <v>40</v>
      </c>
      <c r="B20" s="37">
        <f>6*0.92</f>
        <v>5.52</v>
      </c>
      <c r="C20" s="25">
        <f t="shared" si="13"/>
        <v>1</v>
      </c>
      <c r="D20" s="26">
        <f>70*0.94</f>
        <v>65.8</v>
      </c>
      <c r="E20" s="5">
        <f>($V$2*R18*S18)*(1+$H$25/100)</f>
        <v>0</v>
      </c>
      <c r="F20" s="5">
        <f>($V$2*T18)*(1+$H$25/100)</f>
        <v>0</v>
      </c>
      <c r="G20" s="27">
        <v>2169</v>
      </c>
      <c r="H20" s="28">
        <f>0</f>
        <v>0</v>
      </c>
      <c r="I20" s="5">
        <f t="shared" si="3"/>
        <v>0</v>
      </c>
      <c r="J20" s="29">
        <f t="shared" si="4"/>
        <v>0</v>
      </c>
      <c r="K20" s="30">
        <f t="shared" si="5"/>
        <v>0</v>
      </c>
      <c r="L20" s="5">
        <f t="shared" si="6"/>
        <v>0</v>
      </c>
      <c r="M20" s="5">
        <f t="shared" si="7"/>
        <v>0</v>
      </c>
      <c r="N20" s="5">
        <f t="shared" si="8"/>
        <v>0</v>
      </c>
      <c r="Q20" s="5" t="s">
        <v>43</v>
      </c>
      <c r="R20" s="31">
        <v>240</v>
      </c>
      <c r="S20" s="5">
        <f>CEILING(R20/2*$P$11/100,1)*2/R20*$F$25/$P$11+1</f>
        <v>1.31553819444444</v>
      </c>
      <c r="T20" s="29">
        <f>R20*B22/C22*(MAX(1,100/D22)*$D$25+1*(1-$D$25))*S20</f>
        <v>6007.04720678618</v>
      </c>
      <c r="U20" s="30">
        <f>K22</f>
        <v>120</v>
      </c>
    </row>
    <row r="21" s="5" customFormat="1" spans="1:24">
      <c r="A21" s="5" t="s">
        <v>42</v>
      </c>
      <c r="B21" s="24">
        <f>8*0.92</f>
        <v>7.36</v>
      </c>
      <c r="C21" s="25">
        <f t="shared" si="13"/>
        <v>1</v>
      </c>
      <c r="D21" s="26">
        <f>60*1.01</f>
        <v>60.6</v>
      </c>
      <c r="E21" s="5">
        <f>($V$2*R19*S19)*(1+$H$25/100)</f>
        <v>0</v>
      </c>
      <c r="F21" s="5">
        <f>($V$2*T19)*(1+$H$25/100)</f>
        <v>0</v>
      </c>
      <c r="G21" s="27">
        <v>6630</v>
      </c>
      <c r="H21" s="28">
        <f>0</f>
        <v>0</v>
      </c>
      <c r="I21" s="5">
        <f t="shared" si="3"/>
        <v>0</v>
      </c>
      <c r="J21" s="29">
        <f t="shared" si="4"/>
        <v>0</v>
      </c>
      <c r="K21" s="30">
        <f t="shared" si="5"/>
        <v>0</v>
      </c>
      <c r="L21" s="5">
        <f t="shared" si="6"/>
        <v>0</v>
      </c>
      <c r="M21" s="5">
        <f t="shared" si="7"/>
        <v>0</v>
      </c>
      <c r="N21" s="5">
        <f t="shared" si="8"/>
        <v>0</v>
      </c>
      <c r="S21" s="29"/>
      <c r="V21" s="32">
        <f>9+64</f>
        <v>73</v>
      </c>
    </row>
    <row r="22" s="5" customFormat="1" spans="1:24">
      <c r="A22" s="5" t="s">
        <v>43</v>
      </c>
      <c r="B22" s="24">
        <v>19.45</v>
      </c>
      <c r="C22" s="25">
        <f>1.03</f>
        <v>1.03</v>
      </c>
      <c r="D22" s="26">
        <v>57</v>
      </c>
      <c r="E22" s="5">
        <f>($V$2*R20*S20)*(1+$H$25/100)</f>
        <v>22732.5</v>
      </c>
      <c r="F22" s="5">
        <f>($V$2*T20)*(1+$H$25/100)</f>
        <v>432507.398888605</v>
      </c>
      <c r="G22" s="27">
        <f>7000+8938</f>
        <v>15938</v>
      </c>
      <c r="H22" s="28">
        <f>G22/E22*(1+$H$25/100)</f>
        <v>0.84133289343451</v>
      </c>
      <c r="I22" s="5">
        <f t="shared" si="3"/>
        <v>6794.5</v>
      </c>
      <c r="J22" s="29">
        <f t="shared" si="4"/>
        <v>225094.575029807</v>
      </c>
      <c r="K22" s="38">
        <v>120</v>
      </c>
      <c r="L22" s="5">
        <f t="shared" si="6"/>
        <v>120</v>
      </c>
      <c r="M22" s="5">
        <f t="shared" si="7"/>
        <v>120</v>
      </c>
      <c r="N22" s="5">
        <f t="shared" si="8"/>
        <v>120</v>
      </c>
      <c r="P22" s="5" t="s">
        <v>44</v>
      </c>
      <c r="Q22" s="5" t="s">
        <v>18</v>
      </c>
      <c r="R22" s="31">
        <v>1285</v>
      </c>
      <c r="S22" s="5">
        <f t="shared" ref="S22:S35" si="16">CEILING(R22/2*$P$31/100,1)*2/R22*$F$25/$P$31+1</f>
        <v>1.30471789883268</v>
      </c>
      <c r="T22" s="29">
        <f t="shared" ref="T22:T30" si="17">R22*B2/C2*(MAX(1,100/D2)*$D$25+1*(1-$D$25))</f>
        <v>647.300983037475</v>
      </c>
      <c r="U22" s="30">
        <f t="shared" ref="U22:U36" si="18">$U$20*T22/$T$20</f>
        <v>12.9308319529679</v>
      </c>
    </row>
    <row r="23" s="5" customFormat="1" spans="1:24">
      <c r="Q23" s="5" t="s">
        <v>20</v>
      </c>
      <c r="R23" s="31">
        <v>1710</v>
      </c>
      <c r="S23" s="5">
        <f t="shared" si="16"/>
        <v>1.30531189083821</v>
      </c>
      <c r="T23" s="29">
        <f t="shared" si="17"/>
        <v>449.34183</v>
      </c>
      <c r="U23" s="30">
        <f t="shared" si="18"/>
        <v>8.9762936337649</v>
      </c>
    </row>
    <row r="24" s="5" customFormat="1" spans="1:24">
      <c r="A24" s="5" t="s">
        <v>45</v>
      </c>
      <c r="D24" s="5" t="s">
        <v>46</v>
      </c>
      <c r="F24" s="5" t="s">
        <v>47</v>
      </c>
      <c r="H24" s="5" t="s">
        <v>48</v>
      </c>
      <c r="K24" s="5" t="s">
        <v>16</v>
      </c>
      <c r="P24" s="5" t="s">
        <v>22</v>
      </c>
      <c r="Q24" s="5" t="s">
        <v>21</v>
      </c>
      <c r="R24" s="31">
        <v>120</v>
      </c>
      <c r="S24" s="5">
        <f t="shared" si="16"/>
        <v>1.31076388888889</v>
      </c>
      <c r="T24" s="29">
        <f t="shared" si="17"/>
        <v>90.225</v>
      </c>
      <c r="U24" s="30">
        <f t="shared" si="18"/>
        <v>1.80238303900271</v>
      </c>
    </row>
    <row r="25" s="5" customFormat="1" spans="1:24">
      <c r="A25" s="39">
        <v>99</v>
      </c>
      <c r="B25" s="5" t="s">
        <v>49</v>
      </c>
      <c r="C25" s="5"/>
      <c r="D25" s="5">
        <f>A26/100</f>
        <v>0.01</v>
      </c>
      <c r="F25" s="40">
        <v>30</v>
      </c>
      <c r="H25" s="41">
        <v>20</v>
      </c>
      <c r="K25" s="30">
        <f>SUM(K2:K22)</f>
        <v>151.717460516076</v>
      </c>
      <c r="L25" s="5">
        <f>SUM(L2:L22)</f>
        <v>148</v>
      </c>
      <c r="M25" s="5">
        <f>SUM(M2:M22)</f>
        <v>152</v>
      </c>
      <c r="N25" s="5">
        <f>SUM(N2:N22)</f>
        <v>157</v>
      </c>
      <c r="P25" s="33">
        <v>24</v>
      </c>
      <c r="Q25" s="5" t="s">
        <v>23</v>
      </c>
      <c r="R25" s="31">
        <v>180</v>
      </c>
      <c r="S25" s="5">
        <f t="shared" si="16"/>
        <v>1.31076388888889</v>
      </c>
      <c r="T25" s="29">
        <f t="shared" si="17"/>
        <v>97.3498577212261</v>
      </c>
      <c r="U25" s="30">
        <f t="shared" si="18"/>
        <v>1.94471302195694</v>
      </c>
    </row>
    <row r="26" s="5" customFormat="1" spans="1:24">
      <c r="A26" s="5">
        <f>100-A25</f>
        <v>1</v>
      </c>
      <c r="B26" s="5" t="s">
        <v>50</v>
      </c>
      <c r="P26" s="5" t="s">
        <v>25</v>
      </c>
      <c r="Q26" s="5" t="s">
        <v>24</v>
      </c>
      <c r="R26" s="31">
        <v>160</v>
      </c>
      <c r="S26" s="5">
        <f t="shared" si="16"/>
        <v>1.349609375</v>
      </c>
      <c r="T26" s="29">
        <f t="shared" si="17"/>
        <v>100.971829444161</v>
      </c>
      <c r="U26" s="30">
        <f t="shared" si="18"/>
        <v>2.0170674736185</v>
      </c>
    </row>
    <row r="27" s="5" customFormat="1" spans="1:24">
      <c r="P27" s="34">
        <v>268.5</v>
      </c>
      <c r="Q27" s="5" t="s">
        <v>26</v>
      </c>
      <c r="R27" s="31">
        <v>20</v>
      </c>
      <c r="S27" s="5">
        <f t="shared" si="16"/>
        <v>1.46614583333333</v>
      </c>
      <c r="T27" s="29">
        <f t="shared" si="17"/>
        <v>99.6401764368161</v>
      </c>
      <c r="U27" s="30">
        <f t="shared" si="18"/>
        <v>1.99046565822061</v>
      </c>
    </row>
    <row r="28" s="5" customFormat="1" spans="1:24">
      <c r="P28" s="5" t="s">
        <v>29</v>
      </c>
      <c r="Q28" s="5" t="s">
        <v>28</v>
      </c>
      <c r="R28" s="31">
        <v>24</v>
      </c>
      <c r="S28" s="5">
        <f t="shared" si="16"/>
        <v>1.38845486111111</v>
      </c>
      <c r="T28" s="29">
        <f t="shared" si="17"/>
        <v>138.017299597377</v>
      </c>
      <c r="U28" s="30">
        <f t="shared" si="18"/>
        <v>2.75710767396251</v>
      </c>
    </row>
    <row r="29" s="5" customFormat="1" spans="1:24">
      <c r="P29" s="36">
        <v>0</v>
      </c>
      <c r="Q29" s="5" t="s">
        <v>31</v>
      </c>
      <c r="R29" s="31">
        <v>12</v>
      </c>
      <c r="S29" s="5">
        <f t="shared" si="16"/>
        <v>1.77690972222222</v>
      </c>
      <c r="T29" s="29">
        <f t="shared" si="17"/>
        <v>186.100891618783</v>
      </c>
      <c r="U29" s="30">
        <f t="shared" si="18"/>
        <v>3.71765132277059</v>
      </c>
    </row>
    <row r="30" s="5" customFormat="1" spans="1:24">
      <c r="P30" s="5" t="s">
        <v>33</v>
      </c>
      <c r="Q30" s="5" t="s">
        <v>27</v>
      </c>
      <c r="R30" s="31">
        <v>12</v>
      </c>
      <c r="S30" s="5">
        <f t="shared" si="16"/>
        <v>1.77690972222222</v>
      </c>
      <c r="T30" s="29">
        <f t="shared" si="17"/>
        <v>327.155987055016</v>
      </c>
      <c r="U30" s="30">
        <f t="shared" si="18"/>
        <v>6.5354436373084</v>
      </c>
    </row>
    <row r="31" s="5" customFormat="1" spans="1:24">
      <c r="P31" s="5">
        <f>(1.5*0.1)/(2.5*0.05)*0.6*P25/P27*100</f>
        <v>6.43575418994413</v>
      </c>
      <c r="Q31" s="5" t="s">
        <v>32</v>
      </c>
      <c r="R31" s="31">
        <v>130</v>
      </c>
      <c r="S31" s="5">
        <f t="shared" si="16"/>
        <v>1.35857371794872</v>
      </c>
      <c r="T31" s="29">
        <f t="shared" ref="T31:T36" si="19">R31*B10/C10*(MAX(1,100/D10)*$D$25+1*(1-$D$25))</f>
        <v>3544.18985976268</v>
      </c>
      <c r="U31" s="30">
        <f t="shared" si="18"/>
        <v>70.8006394041743</v>
      </c>
    </row>
    <row r="32" s="5" customFormat="1" spans="1:24">
      <c r="Q32" s="5" t="s">
        <v>34</v>
      </c>
      <c r="R32" s="31">
        <v>70</v>
      </c>
      <c r="S32" s="5">
        <f t="shared" si="16"/>
        <v>1.39955357142857</v>
      </c>
      <c r="T32" s="29">
        <f t="shared" si="19"/>
        <v>866.909930771567</v>
      </c>
      <c r="U32" s="30">
        <f t="shared" si="18"/>
        <v>17.3178581941334</v>
      </c>
    </row>
    <row r="33" s="5" customFormat="1" spans="17:21">
      <c r="Q33" s="5" t="s">
        <v>35</v>
      </c>
      <c r="R33" s="31">
        <v>75</v>
      </c>
      <c r="S33" s="5">
        <f t="shared" si="16"/>
        <v>1.37291666666667</v>
      </c>
      <c r="T33" s="29">
        <f t="shared" si="19"/>
        <v>60.15</v>
      </c>
      <c r="U33" s="30">
        <f t="shared" si="18"/>
        <v>1.20158869266847</v>
      </c>
    </row>
    <row r="34" s="5" customFormat="1" spans="17:21">
      <c r="Q34" s="5" t="s">
        <v>39</v>
      </c>
      <c r="R34" s="31">
        <v>164</v>
      </c>
      <c r="S34" s="5">
        <f t="shared" si="16"/>
        <v>1.34108231707317</v>
      </c>
      <c r="T34" s="29">
        <f t="shared" si="19"/>
        <v>263.812923076923</v>
      </c>
      <c r="U34" s="30">
        <f t="shared" si="18"/>
        <v>5.27006858435658</v>
      </c>
    </row>
    <row r="35" spans="17:21">
      <c r="Q35" s="5" t="s">
        <v>41</v>
      </c>
      <c r="R35" s="31">
        <v>70</v>
      </c>
      <c r="S35" s="5">
        <f t="shared" si="16"/>
        <v>1.39955357142857</v>
      </c>
      <c r="T35" s="29">
        <f t="shared" si="19"/>
        <v>105.7</v>
      </c>
      <c r="U35" s="30">
        <f t="shared" si="18"/>
        <v>2.11151994705</v>
      </c>
    </row>
    <row r="36" spans="17:21">
      <c r="Q36" s="5" t="s">
        <v>36</v>
      </c>
      <c r="R36" s="31">
        <v>0</v>
      </c>
      <c r="S36" s="5">
        <f>1</f>
        <v>1</v>
      </c>
      <c r="T36" s="29">
        <f t="shared" si="19"/>
        <v>0</v>
      </c>
      <c r="U36" s="30">
        <f t="shared" si="18"/>
        <v>0</v>
      </c>
    </row>
  </sheetData>
  <mergeCells count="1">
    <mergeCell ref="A24:B2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"/>
  <sheetViews>
    <sheetView workbookViewId="0">
      <selection activeCell="A1" sqref="A1"/>
    </sheetView>
  </sheetViews>
  <sheetFormatPr defaultColWidth="8.72727272727273" defaultRowHeight="14"/>
  <cols>
    <col min="1" max="1" width="16.2727272727273" style="1" customWidth="1"/>
    <col min="2" max="2" width="7.54545454545455" style="1" customWidth="1"/>
    <col min="3" max="3" width="6.54545454545455" style="1" customWidth="1"/>
    <col min="4" max="4" width="5.54545454545455" style="1" customWidth="1"/>
    <col min="5" max="6" width="10.6363636363636" style="1" customWidth="1"/>
    <col min="7" max="7" width="11.8181818181818" style="1" customWidth="1"/>
    <col min="8" max="9" width="6.54545454545455" style="1" customWidth="1"/>
    <col min="10" max="10" width="5.54545454545455" style="1" customWidth="1"/>
    <col min="11" max="11" width="10.6363636363636" style="1" customWidth="1"/>
    <col min="12" max="13" width="6.54545454545455" style="1" customWidth="1"/>
    <col min="14" max="14" width="5.54545454545455" style="1" customWidth="1"/>
    <col min="15" max="15" width="14" style="1" customWidth="1"/>
    <col min="16" max="16" width="12.9090909090909" style="1" customWidth="1"/>
    <col min="17" max="18" width="6.54545454545455" style="1" customWidth="1"/>
    <col min="19" max="19" width="5.54545454545455" style="1" customWidth="1"/>
  </cols>
  <sheetData>
    <row r="1" spans="1:19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9</v>
      </c>
      <c r="G1" t="s">
        <v>16</v>
      </c>
      <c r="H1" t="s">
        <v>11</v>
      </c>
      <c r="I1" t="s">
        <v>12</v>
      </c>
      <c r="J1" t="s">
        <v>13</v>
      </c>
      <c r="K1" t="s">
        <v>51</v>
      </c>
      <c r="L1" t="s">
        <v>52</v>
      </c>
      <c r="M1" t="s">
        <v>6</v>
      </c>
      <c r="N1" t="s">
        <v>8</v>
      </c>
      <c r="O1" t="s">
        <v>53</v>
      </c>
      <c r="P1" t="s">
        <v>10</v>
      </c>
      <c r="Q1" t="s">
        <v>11</v>
      </c>
      <c r="R1" t="s">
        <v>12</v>
      </c>
      <c r="S1" t="s">
        <v>13</v>
      </c>
    </row>
    <row r="2" spans="1:19">
      <c r="A2" t="s">
        <v>18</v>
      </c>
      <c r="B2" s="16">
        <v>625</v>
      </c>
      <c r="C2" s="17">
        <v>0.48</v>
      </c>
      <c r="D2" s="18">
        <v>1</v>
      </c>
      <c r="E2" s="19">
        <v>75</v>
      </c>
      <c r="F2" s="8">
        <f t="shared" ref="F2:F13" si="0">B2*C2/D2/E2*100</f>
        <v>400</v>
      </c>
      <c r="G2" s="8">
        <f t="shared" ref="G2:G12" si="1">$G$13*F2/$F$13</f>
        <v>2.17746481028152</v>
      </c>
      <c r="H2">
        <f t="shared" ref="H2:H13" si="2">FLOOR(G2,1)</f>
        <v>2</v>
      </c>
      <c r="I2">
        <f t="shared" ref="I2:I13" si="3">ROUND(G2,0)</f>
        <v>2</v>
      </c>
      <c r="J2">
        <f t="shared" ref="J2:J13" si="4">CEILING(G2,1)</f>
        <v>3</v>
      </c>
      <c r="K2" s="20">
        <v>6</v>
      </c>
      <c r="L2">
        <f t="shared" ref="L2:L13" si="5">$K$2*B2</f>
        <v>3750</v>
      </c>
      <c r="M2" s="21">
        <v>24426</v>
      </c>
      <c r="N2">
        <f t="shared" ref="N2:N13" si="6">MAX(L2-M2,0)</f>
        <v>0</v>
      </c>
      <c r="O2" s="8">
        <f t="shared" ref="O2:O13" si="7">N2*C2/D2/E2</f>
        <v>0</v>
      </c>
      <c r="P2" s="8">
        <f t="shared" ref="P2:P12" si="8">$P$13*O2/$O$13</f>
        <v>0</v>
      </c>
      <c r="Q2">
        <f t="shared" ref="Q2:Q13" si="9">FLOOR(P2,1)</f>
        <v>0</v>
      </c>
      <c r="R2">
        <f t="shared" ref="R2:R13" si="10">ROUND(P2,0)</f>
        <v>0</v>
      </c>
      <c r="S2">
        <f t="shared" ref="S2:S13" si="11">CEILING(P2,1)</f>
        <v>0</v>
      </c>
    </row>
    <row r="3" spans="1:19">
      <c r="A3" t="s">
        <v>20</v>
      </c>
      <c r="B3" s="16">
        <v>685</v>
      </c>
      <c r="C3" s="17">
        <v>0.24</v>
      </c>
      <c r="D3" s="18">
        <v>1</v>
      </c>
      <c r="E3" s="19">
        <v>70</v>
      </c>
      <c r="F3" s="8">
        <f t="shared" si="0"/>
        <v>234.857142857143</v>
      </c>
      <c r="G3" s="8">
        <f t="shared" si="1"/>
        <v>1.27848291003672</v>
      </c>
      <c r="H3">
        <f t="shared" si="2"/>
        <v>1</v>
      </c>
      <c r="I3">
        <f t="shared" si="3"/>
        <v>1</v>
      </c>
      <c r="J3">
        <f t="shared" si="4"/>
        <v>2</v>
      </c>
      <c r="L3">
        <f t="shared" si="5"/>
        <v>4110</v>
      </c>
      <c r="M3" s="21">
        <v>38854</v>
      </c>
      <c r="N3">
        <f t="shared" si="6"/>
        <v>0</v>
      </c>
      <c r="O3" s="8">
        <f t="shared" si="7"/>
        <v>0</v>
      </c>
      <c r="P3" s="8">
        <f t="shared" si="8"/>
        <v>0</v>
      </c>
      <c r="Q3">
        <f t="shared" si="9"/>
        <v>0</v>
      </c>
      <c r="R3">
        <f t="shared" si="10"/>
        <v>0</v>
      </c>
      <c r="S3">
        <f t="shared" si="11"/>
        <v>0</v>
      </c>
    </row>
    <row r="4" spans="1:19">
      <c r="A4" t="s">
        <v>31</v>
      </c>
      <c r="B4" s="16">
        <v>48</v>
      </c>
      <c r="C4" s="17">
        <v>15.25</v>
      </c>
      <c r="D4" s="18">
        <v>1.01</v>
      </c>
      <c r="E4" s="19">
        <v>39.2</v>
      </c>
      <c r="F4" s="8">
        <f t="shared" si="0"/>
        <v>1848.85835522328</v>
      </c>
      <c r="G4" s="8">
        <f t="shared" si="1"/>
        <v>10.0645600192341</v>
      </c>
      <c r="H4">
        <f t="shared" si="2"/>
        <v>10</v>
      </c>
      <c r="I4">
        <f t="shared" si="3"/>
        <v>10</v>
      </c>
      <c r="J4">
        <f t="shared" si="4"/>
        <v>11</v>
      </c>
      <c r="L4">
        <f t="shared" si="5"/>
        <v>288</v>
      </c>
      <c r="M4" s="21">
        <f>755+302</f>
        <v>1057</v>
      </c>
      <c r="N4">
        <f t="shared" si="6"/>
        <v>0</v>
      </c>
      <c r="O4" s="8">
        <f t="shared" si="7"/>
        <v>0</v>
      </c>
      <c r="P4" s="8">
        <f t="shared" si="8"/>
        <v>0</v>
      </c>
      <c r="Q4">
        <f t="shared" si="9"/>
        <v>0</v>
      </c>
      <c r="R4">
        <f t="shared" si="10"/>
        <v>0</v>
      </c>
      <c r="S4">
        <f t="shared" si="11"/>
        <v>0</v>
      </c>
    </row>
    <row r="5" spans="1:19">
      <c r="A5" t="s">
        <v>27</v>
      </c>
      <c r="B5" s="16">
        <v>12</v>
      </c>
      <c r="C5" s="17">
        <v>26.5</v>
      </c>
      <c r="D5" s="18">
        <f>1.01</f>
        <v>1.01</v>
      </c>
      <c r="E5" s="19">
        <v>33.6</v>
      </c>
      <c r="F5" s="8">
        <f t="shared" si="0"/>
        <v>937.057991513437</v>
      </c>
      <c r="G5" s="8">
        <f t="shared" si="1"/>
        <v>5.10102700428396</v>
      </c>
      <c r="H5">
        <f t="shared" si="2"/>
        <v>5</v>
      </c>
      <c r="I5">
        <f t="shared" si="3"/>
        <v>5</v>
      </c>
      <c r="J5">
        <f t="shared" si="4"/>
        <v>6</v>
      </c>
      <c r="L5">
        <f t="shared" si="5"/>
        <v>72</v>
      </c>
      <c r="M5" s="21">
        <v>267</v>
      </c>
      <c r="N5">
        <f t="shared" si="6"/>
        <v>0</v>
      </c>
      <c r="O5" s="8">
        <f t="shared" si="7"/>
        <v>0</v>
      </c>
      <c r="P5" s="8">
        <f t="shared" si="8"/>
        <v>0</v>
      </c>
      <c r="Q5">
        <f t="shared" si="9"/>
        <v>0</v>
      </c>
      <c r="R5">
        <f t="shared" si="10"/>
        <v>0</v>
      </c>
      <c r="S5">
        <f t="shared" si="11"/>
        <v>0</v>
      </c>
    </row>
    <row r="6" spans="1:19">
      <c r="A6" t="s">
        <v>34</v>
      </c>
      <c r="B6" s="16">
        <v>175</v>
      </c>
      <c r="C6" s="17">
        <v>1.6</v>
      </c>
      <c r="D6" s="18">
        <v>1</v>
      </c>
      <c r="E6" s="19">
        <v>65</v>
      </c>
      <c r="F6" s="8">
        <f t="shared" si="0"/>
        <v>430.769230769231</v>
      </c>
      <c r="G6" s="8">
        <f t="shared" si="1"/>
        <v>2.3449621033801</v>
      </c>
      <c r="H6">
        <f t="shared" si="2"/>
        <v>2</v>
      </c>
      <c r="I6">
        <f t="shared" si="3"/>
        <v>2</v>
      </c>
      <c r="J6">
        <f t="shared" si="4"/>
        <v>3</v>
      </c>
      <c r="L6">
        <f t="shared" si="5"/>
        <v>1050</v>
      </c>
      <c r="M6" s="21">
        <v>3844</v>
      </c>
      <c r="N6">
        <f t="shared" si="6"/>
        <v>0</v>
      </c>
      <c r="O6" s="8">
        <f t="shared" si="7"/>
        <v>0</v>
      </c>
      <c r="P6" s="8">
        <f t="shared" si="8"/>
        <v>0</v>
      </c>
      <c r="Q6">
        <f t="shared" si="9"/>
        <v>0</v>
      </c>
      <c r="R6">
        <f t="shared" si="10"/>
        <v>0</v>
      </c>
      <c r="S6">
        <f t="shared" si="11"/>
        <v>0</v>
      </c>
    </row>
    <row r="7" spans="1:19">
      <c r="A7" t="s">
        <v>35</v>
      </c>
      <c r="B7" s="16">
        <v>100</v>
      </c>
      <c r="C7" s="17">
        <v>1</v>
      </c>
      <c r="D7" s="18">
        <v>1</v>
      </c>
      <c r="E7" s="19">
        <v>50</v>
      </c>
      <c r="F7" s="8">
        <f t="shared" si="0"/>
        <v>200</v>
      </c>
      <c r="G7" s="8">
        <f t="shared" si="1"/>
        <v>1.08873240514076</v>
      </c>
      <c r="H7">
        <f t="shared" si="2"/>
        <v>1</v>
      </c>
      <c r="I7">
        <f t="shared" si="3"/>
        <v>1</v>
      </c>
      <c r="J7">
        <f t="shared" si="4"/>
        <v>2</v>
      </c>
      <c r="L7">
        <f t="shared" si="5"/>
        <v>600</v>
      </c>
      <c r="M7" s="21">
        <v>2090</v>
      </c>
      <c r="N7">
        <f t="shared" si="6"/>
        <v>0</v>
      </c>
      <c r="O7" s="8">
        <f t="shared" si="7"/>
        <v>0</v>
      </c>
      <c r="P7" s="8">
        <f t="shared" si="8"/>
        <v>0</v>
      </c>
      <c r="Q7">
        <f t="shared" si="9"/>
        <v>0</v>
      </c>
      <c r="R7">
        <f t="shared" si="10"/>
        <v>0</v>
      </c>
      <c r="S7">
        <f t="shared" si="11"/>
        <v>0</v>
      </c>
    </row>
    <row r="8" spans="1:19">
      <c r="A8" t="s">
        <v>36</v>
      </c>
      <c r="B8" s="16">
        <v>90</v>
      </c>
      <c r="C8" s="17">
        <v>1</v>
      </c>
      <c r="D8" s="18">
        <v>1.05</v>
      </c>
      <c r="E8" s="19">
        <v>71.5</v>
      </c>
      <c r="F8" s="8">
        <f t="shared" si="0"/>
        <v>119.88011988012</v>
      </c>
      <c r="G8" s="8">
        <f t="shared" si="1"/>
        <v>0.652586856228227</v>
      </c>
      <c r="H8">
        <f t="shared" si="2"/>
        <v>0</v>
      </c>
      <c r="I8">
        <f t="shared" si="3"/>
        <v>1</v>
      </c>
      <c r="J8">
        <f t="shared" si="4"/>
        <v>1</v>
      </c>
      <c r="L8">
        <f t="shared" si="5"/>
        <v>540</v>
      </c>
      <c r="M8" s="21">
        <v>1259</v>
      </c>
      <c r="N8">
        <f t="shared" si="6"/>
        <v>0</v>
      </c>
      <c r="O8" s="8">
        <f t="shared" si="7"/>
        <v>0</v>
      </c>
      <c r="P8" s="8">
        <f t="shared" si="8"/>
        <v>0</v>
      </c>
      <c r="Q8">
        <f t="shared" si="9"/>
        <v>0</v>
      </c>
      <c r="R8">
        <f t="shared" si="10"/>
        <v>0</v>
      </c>
      <c r="S8">
        <f t="shared" si="11"/>
        <v>0</v>
      </c>
    </row>
    <row r="9" spans="1:19">
      <c r="A9" t="s">
        <v>37</v>
      </c>
      <c r="B9" s="16">
        <v>180</v>
      </c>
      <c r="C9" s="17">
        <v>2</v>
      </c>
      <c r="D9" s="18">
        <v>1.05</v>
      </c>
      <c r="E9" s="19">
        <v>60.5</v>
      </c>
      <c r="F9" s="8">
        <f t="shared" si="0"/>
        <v>566.706021251476</v>
      </c>
      <c r="G9" s="8">
        <f t="shared" si="1"/>
        <v>3.08495604762435</v>
      </c>
      <c r="H9">
        <f t="shared" si="2"/>
        <v>3</v>
      </c>
      <c r="I9">
        <f t="shared" si="3"/>
        <v>3</v>
      </c>
      <c r="J9">
        <f t="shared" si="4"/>
        <v>4</v>
      </c>
      <c r="L9">
        <f t="shared" si="5"/>
        <v>1080</v>
      </c>
      <c r="M9" s="21">
        <v>1048</v>
      </c>
      <c r="N9">
        <f t="shared" si="6"/>
        <v>32</v>
      </c>
      <c r="O9" s="8">
        <f t="shared" si="7"/>
        <v>1.00747737111373</v>
      </c>
      <c r="P9" s="8">
        <f t="shared" si="8"/>
        <v>1.1396085832494</v>
      </c>
      <c r="Q9">
        <f t="shared" si="9"/>
        <v>1</v>
      </c>
      <c r="R9">
        <f t="shared" si="10"/>
        <v>1</v>
      </c>
      <c r="S9">
        <f t="shared" si="11"/>
        <v>2</v>
      </c>
    </row>
    <row r="10" spans="1:19">
      <c r="A10" t="s">
        <v>38</v>
      </c>
      <c r="B10" s="16">
        <v>550</v>
      </c>
      <c r="C10" s="17">
        <v>4.25</v>
      </c>
      <c r="D10" s="18">
        <v>1.05</v>
      </c>
      <c r="E10" s="19">
        <v>77</v>
      </c>
      <c r="F10" s="8">
        <f t="shared" si="0"/>
        <v>2891.15646258503</v>
      </c>
      <c r="G10" s="8">
        <f t="shared" si="1"/>
        <v>15.7384786457423</v>
      </c>
      <c r="H10">
        <f t="shared" si="2"/>
        <v>15</v>
      </c>
      <c r="I10">
        <f t="shared" si="3"/>
        <v>16</v>
      </c>
      <c r="J10">
        <f t="shared" si="4"/>
        <v>16</v>
      </c>
      <c r="L10">
        <f t="shared" si="5"/>
        <v>3300</v>
      </c>
      <c r="M10" s="21">
        <f>2145+MAX(M8-L8,0)</f>
        <v>2864</v>
      </c>
      <c r="N10">
        <f t="shared" si="6"/>
        <v>436</v>
      </c>
      <c r="O10" s="8">
        <f t="shared" si="7"/>
        <v>22.9189857761286</v>
      </c>
      <c r="P10" s="8">
        <f t="shared" si="8"/>
        <v>25.9248233843443</v>
      </c>
      <c r="Q10">
        <f t="shared" si="9"/>
        <v>25</v>
      </c>
      <c r="R10">
        <f t="shared" si="10"/>
        <v>26</v>
      </c>
      <c r="S10">
        <f t="shared" si="11"/>
        <v>26</v>
      </c>
    </row>
    <row r="11" spans="1:19">
      <c r="A11" t="s">
        <v>54</v>
      </c>
      <c r="B11" s="16">
        <v>78</v>
      </c>
      <c r="C11" s="17">
        <v>5.5</v>
      </c>
      <c r="D11" s="18">
        <v>1.05</v>
      </c>
      <c r="E11" s="19">
        <v>77</v>
      </c>
      <c r="F11" s="8">
        <f t="shared" si="0"/>
        <v>530.612244897959</v>
      </c>
      <c r="G11" s="8">
        <f t="shared" si="1"/>
        <v>2.88847372792446</v>
      </c>
      <c r="H11">
        <f t="shared" si="2"/>
        <v>2</v>
      </c>
      <c r="I11">
        <f t="shared" si="3"/>
        <v>3</v>
      </c>
      <c r="J11">
        <f t="shared" si="4"/>
        <v>3</v>
      </c>
      <c r="L11">
        <f t="shared" si="5"/>
        <v>468</v>
      </c>
      <c r="M11" s="21">
        <v>635</v>
      </c>
      <c r="N11">
        <f t="shared" si="6"/>
        <v>0</v>
      </c>
      <c r="O11" s="8">
        <f t="shared" si="7"/>
        <v>0</v>
      </c>
      <c r="P11" s="8">
        <f t="shared" si="8"/>
        <v>0</v>
      </c>
      <c r="Q11">
        <f t="shared" si="9"/>
        <v>0</v>
      </c>
      <c r="R11">
        <f t="shared" si="10"/>
        <v>0</v>
      </c>
      <c r="S11">
        <f t="shared" si="11"/>
        <v>0</v>
      </c>
    </row>
    <row r="12" spans="1:19">
      <c r="A12" t="s">
        <v>40</v>
      </c>
      <c r="B12" s="16">
        <v>24</v>
      </c>
      <c r="C12" s="22">
        <v>6</v>
      </c>
      <c r="D12" s="18">
        <v>1.05</v>
      </c>
      <c r="E12" s="19">
        <v>77</v>
      </c>
      <c r="F12" s="8">
        <f t="shared" si="0"/>
        <v>178.107606679035</v>
      </c>
      <c r="G12" s="8">
        <f t="shared" si="1"/>
        <v>0.969557614967652</v>
      </c>
      <c r="H12">
        <f t="shared" si="2"/>
        <v>0</v>
      </c>
      <c r="I12">
        <f t="shared" si="3"/>
        <v>1</v>
      </c>
      <c r="J12">
        <f t="shared" si="4"/>
        <v>1</v>
      </c>
      <c r="L12">
        <f t="shared" si="5"/>
        <v>144</v>
      </c>
      <c r="M12" s="21">
        <v>122</v>
      </c>
      <c r="N12">
        <f t="shared" si="6"/>
        <v>22</v>
      </c>
      <c r="O12" s="8">
        <f t="shared" si="7"/>
        <v>1.63265306122449</v>
      </c>
      <c r="P12" s="8">
        <f t="shared" si="8"/>
        <v>1.84677640946219</v>
      </c>
      <c r="Q12">
        <f t="shared" si="9"/>
        <v>1</v>
      </c>
      <c r="R12">
        <f t="shared" si="10"/>
        <v>2</v>
      </c>
      <c r="S12">
        <f t="shared" si="11"/>
        <v>2</v>
      </c>
    </row>
    <row r="13" spans="1:19">
      <c r="A13" t="s">
        <v>55</v>
      </c>
      <c r="B13" s="16">
        <v>160</v>
      </c>
      <c r="C13" s="17">
        <v>16.34</v>
      </c>
      <c r="D13" s="18">
        <f>1.01</f>
        <v>1.01</v>
      </c>
      <c r="E13" s="19">
        <v>67.1</v>
      </c>
      <c r="F13" s="8">
        <f t="shared" si="0"/>
        <v>3857.69724513435</v>
      </c>
      <c r="G13" s="23">
        <v>21</v>
      </c>
      <c r="H13">
        <f t="shared" si="2"/>
        <v>21</v>
      </c>
      <c r="I13">
        <f t="shared" si="3"/>
        <v>21</v>
      </c>
      <c r="J13">
        <f t="shared" si="4"/>
        <v>21</v>
      </c>
      <c r="L13">
        <f t="shared" si="5"/>
        <v>960</v>
      </c>
      <c r="M13" s="21">
        <v>883</v>
      </c>
      <c r="N13">
        <f t="shared" si="6"/>
        <v>77</v>
      </c>
      <c r="O13" s="8">
        <f t="shared" si="7"/>
        <v>18.5651679922091</v>
      </c>
      <c r="P13" s="23">
        <f>G13</f>
        <v>21</v>
      </c>
      <c r="Q13">
        <f t="shared" si="9"/>
        <v>21</v>
      </c>
      <c r="R13">
        <f t="shared" si="10"/>
        <v>21</v>
      </c>
      <c r="S13">
        <f t="shared" si="11"/>
        <v>21</v>
      </c>
    </row>
    <row r="14" spans="1:19">
      <c r="D14"/>
      <c r="G14" s="8">
        <f>SUM(G2:G13)</f>
        <v>66.3892821448441</v>
      </c>
      <c r="H14">
        <f>SUM(H2:H13)</f>
        <v>62</v>
      </c>
      <c r="I14">
        <f>SUM(I2:I13)</f>
        <v>66</v>
      </c>
      <c r="J14">
        <f>SUM(J2:J13)</f>
        <v>73</v>
      </c>
      <c r="P14" s="8">
        <f>SUM(P2:P13)</f>
        <v>49.9112083770559</v>
      </c>
      <c r="Q14">
        <f>SUM(Q2:Q13)</f>
        <v>48</v>
      </c>
      <c r="R14">
        <f>SUM(R2:R13)</f>
        <v>50</v>
      </c>
      <c r="S14">
        <f>SUM(S2:S13)</f>
        <v>51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6"/>
  <sheetViews>
    <sheetView workbookViewId="0">
      <selection activeCell="W19" sqref="W19"/>
    </sheetView>
  </sheetViews>
  <sheetFormatPr defaultColWidth="9" defaultRowHeight="14"/>
  <cols>
    <col min="1" max="1" width="24.1818181818182" style="1" customWidth="1"/>
    <col min="2" max="2" width="5.54545454545455" style="1" customWidth="1"/>
    <col min="3" max="4" width="6.54545454545455" style="1" customWidth="1"/>
    <col min="5" max="5" width="7.54545454545455" style="1" customWidth="1"/>
    <col min="6" max="6" width="5.54545454545455" style="1" customWidth="1"/>
    <col min="7" max="7" width="9.54545454545454" style="1" customWidth="1"/>
    <col min="8" max="8" width="7.54545454545455" style="1" customWidth="1"/>
    <col min="9" max="9" width="6.54545454545455" style="1" customWidth="1"/>
    <col min="10" max="10" width="8.18181818181818" style="1" customWidth="1"/>
    <col min="11" max="11" width="6.54545454545455" style="1" customWidth="1"/>
    <col min="12" max="12" width="5.54545454545455" style="1" customWidth="1"/>
    <col min="13" max="13" width="7.54545454545455" style="1" customWidth="1"/>
    <col min="14" max="14" width="9.54545454545454" style="1" customWidth="1"/>
    <col min="15" max="16" width="5.54545454545455" style="1" customWidth="1"/>
    <col min="17" max="17" width="6.54545454545455" style="1" customWidth="1"/>
    <col min="18" max="20" width="5.54545454545455" style="1" customWidth="1"/>
    <col min="21" max="21" width="9.54545454545454" style="1" customWidth="1"/>
    <col min="22" max="23" width="11.8181818181818" style="1" customWidth="1"/>
    <col min="24" max="24" width="10.6363636363636" style="1" customWidth="1"/>
    <col min="25" max="28" width="11.8181818181818" style="1" customWidth="1"/>
    <col min="29" max="29" width="24.1818181818182" style="1" customWidth="1"/>
  </cols>
  <sheetData>
    <row r="1" spans="1:29">
      <c r="A1" t="s">
        <v>56</v>
      </c>
      <c r="B1" s="5" t="s">
        <v>57</v>
      </c>
      <c r="J1" s="5"/>
      <c r="K1" s="5" t="s">
        <v>58</v>
      </c>
      <c r="V1" s="5" t="s">
        <v>59</v>
      </c>
      <c r="AC1" t="s">
        <v>60</v>
      </c>
    </row>
    <row r="2" spans="1:29">
      <c r="A2"/>
      <c r="B2" t="s">
        <v>61</v>
      </c>
      <c r="C2" t="s">
        <v>49</v>
      </c>
      <c r="D2" t="s">
        <v>62</v>
      </c>
      <c r="E2" t="s">
        <v>63</v>
      </c>
      <c r="F2" t="s">
        <v>64</v>
      </c>
      <c r="G2" t="s">
        <v>65</v>
      </c>
      <c r="H2" t="s">
        <v>66</v>
      </c>
      <c r="I2" t="s">
        <v>67</v>
      </c>
      <c r="J2"/>
      <c r="K2" t="s">
        <v>68</v>
      </c>
      <c r="L2" t="s">
        <v>49</v>
      </c>
      <c r="M2" t="s">
        <v>63</v>
      </c>
      <c r="N2" t="s">
        <v>65</v>
      </c>
      <c r="O2" t="s">
        <v>69</v>
      </c>
      <c r="P2" t="s">
        <v>67</v>
      </c>
      <c r="Q2" t="s">
        <v>70</v>
      </c>
      <c r="R2" t="s">
        <v>64</v>
      </c>
      <c r="S2" t="s">
        <v>71</v>
      </c>
      <c r="T2" t="s">
        <v>72</v>
      </c>
      <c r="U2"/>
      <c r="V2" t="s">
        <v>73</v>
      </c>
      <c r="W2" t="s">
        <v>74</v>
      </c>
      <c r="X2" t="s">
        <v>75</v>
      </c>
      <c r="Y2" t="s">
        <v>76</v>
      </c>
      <c r="Z2" t="s">
        <v>77</v>
      </c>
      <c r="AA2" t="s">
        <v>78</v>
      </c>
      <c r="AB2" t="s">
        <v>79</v>
      </c>
      <c r="AC2"/>
    </row>
    <row r="3" spans="1:29">
      <c r="A3" t="s">
        <v>80</v>
      </c>
      <c r="B3" s="3">
        <v>610</v>
      </c>
      <c r="C3" s="3">
        <v>29</v>
      </c>
      <c r="D3" s="3">
        <v>28.1</v>
      </c>
      <c r="E3" s="3">
        <v>51.5</v>
      </c>
      <c r="F3" s="3">
        <v>0</v>
      </c>
      <c r="G3" s="3">
        <v>864</v>
      </c>
      <c r="H3" s="3">
        <v>0.47</v>
      </c>
      <c r="I3" s="3">
        <v>36.4</v>
      </c>
      <c r="J3" s="4"/>
      <c r="K3" s="6">
        <v>9</v>
      </c>
      <c r="L3" s="6">
        <v>9</v>
      </c>
      <c r="M3" s="6">
        <v>7</v>
      </c>
      <c r="N3" s="6">
        <v>2.5</v>
      </c>
      <c r="O3" s="6">
        <v>3</v>
      </c>
      <c r="P3" s="6">
        <v>-20</v>
      </c>
      <c r="Q3" s="6">
        <v>13</v>
      </c>
      <c r="R3" s="6">
        <v>4</v>
      </c>
      <c r="S3" s="6">
        <v>2</v>
      </c>
      <c r="T3" s="7"/>
      <c r="U3" s="5" t="s">
        <v>81</v>
      </c>
      <c r="V3" s="8">
        <f>(1+$K$3/100)*(1+$L$3/100)*(1+$M$3/100)*(1+$N$3/100)/(1+$P$3/100)</f>
        <v>1.62881084375</v>
      </c>
      <c r="W3" s="8">
        <f>(1+$K$3/100)*(1+$L$3/100)*(1+$M$3/100)*(1+$N$3/100)/(1+$P$3/100)*(1+$Q$3/100)</f>
        <v>1.8405562534375</v>
      </c>
      <c r="X3" s="8">
        <f>1/(1+$P$3/100)*(1+$Q$3/100)</f>
        <v>1.4125</v>
      </c>
      <c r="Y3" s="8">
        <f>((1+$L$3/100)/(1+$P$3/100)*(1+$R$3/100))</f>
        <v>1.417</v>
      </c>
      <c r="Z3" s="8">
        <f>(1+$L$3/100)/(1+$P$3/100)*(1+$R$3/100)*(1+$Q$3/100)</f>
        <v>1.60121</v>
      </c>
      <c r="AA3" s="8">
        <f>(1+$L$3/100)/(1+$P$3/100)*(1+$S$3/100)*(1+$T$3/100)</f>
        <v>1.38975</v>
      </c>
      <c r="AB3" s="8">
        <f>(1+$L$3/100)/(1+$P$3/100)*(1+$S$3/100)*(1+$Q$3/100)*(1+$T$3/100)</f>
        <v>1.5704175</v>
      </c>
      <c r="AC3"/>
    </row>
    <row r="4" spans="1:29">
      <c r="A4" t="s">
        <v>82</v>
      </c>
      <c r="B4"/>
      <c r="C4"/>
      <c r="D4">
        <v>0.25</v>
      </c>
      <c r="E4"/>
      <c r="F4"/>
      <c r="G4"/>
      <c r="H4"/>
      <c r="I4"/>
      <c r="J4"/>
      <c r="K4">
        <v>1</v>
      </c>
      <c r="L4"/>
      <c r="M4">
        <v>-0.5</v>
      </c>
      <c r="N4">
        <v>-0.25</v>
      </c>
      <c r="O4">
        <v>-0.5</v>
      </c>
      <c r="P4">
        <v>1</v>
      </c>
      <c r="Q4"/>
      <c r="R4"/>
      <c r="S4"/>
      <c r="T4" s="8"/>
      <c r="U4" s="9"/>
      <c r="V4" s="8">
        <f t="shared" ref="V4:V17" si="0">((($D$3*(1+$K$3/100+SUMPRODUCT($U$4:$U$17,$K$4:$K$17)/100+$K4/100)+SUMPRODUCT($U$4:$U$17,$D$4:$D$17)+$D4)*($C$3*(1+$L$3/100+SUMPRODUCT($U$4:$U$17,$L$4:$L$17)/100+$L4/100)+SUMPRODUCT($U$4:$U$17,$C$4:$C$17)+$C4)*(MAX(-0.7-1.3*MIN($E$20/($E$3*(1+$M$3/100+SUMPRODUCT($U$4:$U$17,$M$4:$M$17)/100+$M4/100)+SUMPRODUCT($U$4:$U$17,$E$4:$E$17)+$E4),1.7)+3*MIN((($G$3*(1+$N$3/100+SUMPRODUCT($U$4:$U$17,$N$4:$N$17)/100+$N4/100)+SUMPRODUCT($U$4:$U$17,$G$4:$G$17)+$G4))/$G$20,2),0)/MAX(-0.7-1.3*MIN((($E$3*(1+$M$3/100+SUMPRODUCT($U$4:$U$17,$M$4:$M$17)/100+$M4/100)+SUMPRODUCT($U$4:$U$17,$E$4:$E$17)+$E4))/$E$20,1.7)+3*MIN($G$20/(($G$3*(1+$N$3/100+SUMPRODUCT($U$4:$U$17,$N$4:$N$17)/100+$N4/100)+SUMPRODUCT($U$4:$U$17,$G$4:$G$17)+$G4)),2),0)))/(($I$3*(1+$P$3/100+SUMPRODUCT($U$4:$U$17,$P$4:$P$17)/100+$P4/100)*(1+0.9855*(1-($H$3*(1+$O$3/100+SUMPRODUCT($U$4:$U$17,$O$4:$O$17)/100+$O4/100)))))))/((($D$3*(1+$K$3/100+SUMPRODUCT($U$4:$U$17,$K$4:$K$17)/100)+SUMPRODUCT($U$4:$U$17,$D$4:$D$17))*($C$3*(1+$L$3/100+SUMPRODUCT($U$4:$U$17,$L$4:$L$17)/100)+SUMPRODUCT($U$4:$U$17,$C$4:$C$17))*(MAX(-0.7-1.3*MIN($E$20/($E$3*(1+$M$3/100+SUMPRODUCT($U$4:$U$17,$M$4:$M$17)/100)+SUMPRODUCT($U$4:$U$17,$E$4:$E$17)),1.7)+3*MIN((($G$3*(1+$N$3/100+SUMPRODUCT($U$4:$U$17,$N$4:$N$17)/100)+SUMPRODUCT($U$4:$U$17,$G$4:$G$17)))/$G$20,2),0)/MAX(-0.7-1.3*MIN((($E$3*(1+$M$3/100+SUMPRODUCT($U$4:$U$17,$M$4:$M$17)/100)+SUMPRODUCT($U$4:$U$17,$E$4:$E$17)))/$E$20,1.7)+3*MIN($G$20/(($G$3*(1+$N$3/100+SUMPRODUCT($U$4:$U$17,$N$4:$N$17)/100)+SUMPRODUCT($U$4:$U$17,$G$4:$G$17))),2),0)))/(($I$3*(1+$P$3/100+SUMPRODUCT($U$4:$U$17,$P$4:$P$17)/100)*(1+0.9855*(1-($H$3*(1+$O$3/100+SUMPRODUCT($U$4:$U$17,$O$4:$O$17)/100)))))))</f>
        <v>0.978011634999028</v>
      </c>
      <c r="W4" s="8">
        <f t="shared" ref="W4:W17" si="1">((($D$3*(1+$K$3/100+SUMPRODUCT($U$4:$U$17,$K$4:$K$17)/100+$K4/100)+SUMPRODUCT($U$4:$U$17,$D$4:$D$17)+$D4)*($C$3*(1+$L$3/100+SUMPRODUCT($U$4:$U$17,$L$4:$L$17)/100+$L4/100)+SUMPRODUCT($U$4:$U$17,$C$4:$C$17)+$C4)*(MAX(-0.7-1.3*MIN($E$20/($E$3*(1+$M$3/100+SUMPRODUCT($U$4:$U$17,$M$4:$M$17)/100+$M4/100)+SUMPRODUCT($U$4:$U$17,$E$4:$E$17)+$E4),1.7)+3*MIN((($G$3*(1+$N$3/100+SUMPRODUCT($U$4:$U$17,$N$4:$N$17)/100+$N4/100)+SUMPRODUCT($U$4:$U$17,$G$4:$G$17)+$G4))/$G$20,2),0)/MAX(-0.7-1.3*MIN((($E$3*(1+$M$3/100+SUMPRODUCT($U$4:$U$17,$M$4:$M$17)/100+$M4/100)+SUMPRODUCT($U$4:$U$17,$E$4:$E$17)+$E4))/$E$20,1.7)+3*MIN($G$20/(($G$3*(1+$N$3/100+SUMPRODUCT($U$4:$U$17,$N$4:$N$17)/100+$N4/100)+SUMPRODUCT($U$4:$U$17,$G$4:$G$17)+$G4)),2),0))*MIN(($B$3*(1+$Q$3/100+SUMPRODUCT($U$4:$U$17,$Q$4:$Q$17)/100+$Q4/100)+SUMPRODUCT($U$4:$U$17,$B$4:$B$17)+$B4),$B$21))/(($I$3*(1+$P$3/100+SUMPRODUCT($U$4:$U$17,$P$4:$P$17)/100+$P4/100)*(1+0.9855*(1-($H$3*(1+$O$3/100+SUMPRODUCT($U$4:$U$17,$O$4:$O$17)/100+$O4/100)))))))/((($D$3*(1+$K$3/100+SUMPRODUCT($U$4:$U$17,$K$4:$K$17)/100)+SUMPRODUCT($U$4:$U$17,$D$4:$D$17))*($C$3*(1+$L$3/100+SUMPRODUCT($U$4:$U$17,$L$4:$L$17)/100)+SUMPRODUCT($U$4:$U$17,$C$4:$C$17))*(MAX(-0.7-1.3*MIN($E$20/($E$3*(1+$M$3/100+SUMPRODUCT($U$4:$U$17,$M$4:$M$17)/100)+SUMPRODUCT($U$4:$U$17,$E$4:$E$17)),1.7)+3*MIN((($G$3*(1+$N$3/100+SUMPRODUCT($U$4:$U$17,$N$4:$N$17)/100)+SUMPRODUCT($U$4:$U$17,$G$4:$G$17)))/$G$20,2),0)/MAX(-0.7-1.3*MIN((($E$3*(1+$M$3/100+SUMPRODUCT($U$4:$U$17,$M$4:$M$17)/100)+SUMPRODUCT($U$4:$U$17,$E$4:$E$17)))/$E$20,1.7)+3*MIN($G$20/(($G$3*(1+$N$3/100+SUMPRODUCT($U$4:$U$17,$N$4:$N$17)/100)+SUMPRODUCT($U$4:$U$17,$G$4:$G$17))),2),0))*MIN(($B$3*(1+$Q$3/100+SUMPRODUCT($U$4:$U$17,$Q$4:$Q$17)/100)+SUMPRODUCT($U$4:$U$17,$B$4:$B$17)),$B$21))/(($I$3*(1+$P$3/100+SUMPRODUCT($U$4:$U$17,$P$4:$P$17)/100)*(1+0.9855*(1-($H$3*(1+$O$3/100+SUMPRODUCT($U$4:$U$17,$O$4:$O$17)/100)))))))</f>
        <v>0.978011634999027</v>
      </c>
      <c r="X4" s="8">
        <f t="shared" ref="X4:X17" si="2">((MIN(($B$3*(1+$Q$3/100+SUMPRODUCT($U$4:$U$17,$Q$4:$Q$17)/100+$Q4/100)+SUMPRODUCT($U$4:$U$17,$B$4:$B$17)+$B4),$B$21))/(($I$3*(1+$P$3/100+SUMPRODUCT($U$4:$U$17,$P$4:$P$17)/100+$P4/100)*(1+0.9855*(1-($H$3*(1+$O$3/100+SUMPRODUCT($U$4:$U$17,$O$4:$O$17)/100+$O4/100)))))))/((MIN(($B$3*(1+$Q$3/100+SUMPRODUCT($U$4:$U$17,$Q$4:$Q$17)/100)+SUMPRODUCT($U$4:$U$17,$B$4:$B$17)),$B$21))/(($I$3*(1+$P$3/100+SUMPRODUCT($U$4:$U$17,$P$4:$P$17)/100)*(1+0.9855*(1-($H$3*(1+$O$3/100+SUMPRODUCT($U$4:$U$17,$O$4:$O$17)/100)))))))</f>
        <v>0.987336046023878</v>
      </c>
      <c r="Y4" s="8">
        <f t="shared" ref="Y4:Y17" si="3">((($C$3*(1+$L$3/100+SUMPRODUCT($U$4:$U$17,$L$4:$L$17)/100+$L4/100)+SUMPRODUCT($U$4:$U$17,$C$4:$C$17)+$C4)*MAX(($F$3*(1+$R$3/100+SUMPRODUCT($U$4:$U$17,$R$4:$R$17)/100+$R4/100)+SUMPRODUCT($U$4:$U$17,$F$4:$F$17)+$F4),0.0001))/(($I$3*(1+$P$3/100+SUMPRODUCT($U$4:$U$17,$P$4:$P$17)/100+$P4/100)*(1+0.9855*(1-($H$3*(1+$O$3/100+SUMPRODUCT($U$4:$U$17,$O$4:$O$17)/100+$O4/100)))))))/((($C$3*(1+$L$3/100+SUMPRODUCT($U$4:$U$17,$L$4:$L$17)/100)+SUMPRODUCT($U$4:$U$17,$C$4:$C$17))*MAX(($F$3*(1+$R$3/100+SUMPRODUCT($U$4:$U$17,$R$4:$R$17)/100)+SUMPRODUCT($U$4:$U$17,$F$4:$F$17)),0.0001))/(($I$3*(1+$P$3/100+SUMPRODUCT($U$4:$U$17,$P$4:$P$17)/100)*(1+0.9855*(1-($H$3*(1+$O$3/100+SUMPRODUCT($U$4:$U$17,$O$4:$O$17)/100)))))))</f>
        <v>0.987336046023878</v>
      </c>
      <c r="Z4" s="8">
        <f t="shared" ref="Z4:Z17" si="4">((($C$3*(1+$L$3/100+SUMPRODUCT($U$4:$U$17,$L$4:$L$17)/100+$L4/100)+SUMPRODUCT($U$4:$U$17,$C$4:$C$17)+$C4)*MAX(($F$3*(1+$R$3/100+SUMPRODUCT($U$4:$U$17,$R$4:$R$17)/100+$R4/100)+SUMPRODUCT($U$4:$U$17,$F$4:$F$17)+$F4),0.0001)*MIN(($B$3*(1+$Q$3/100+SUMPRODUCT($U$4:$U$17,$Q$4:$Q$17)/100+$Q4/100)+SUMPRODUCT($U$4:$U$17,$B$4:$B$17)+$B4),$B$21))/(($I$3*(1+$P$3/100+SUMPRODUCT($U$4:$U$17,$P$4:$P$17)/100+$P4/100)*(1+0.9855*(1-($H$3*(1+$O$3/100+SUMPRODUCT($U$4:$U$17,$O$4:$O$17)/100+$O4/100)))))))/((($C$3*(1+$L$3/100+SUMPRODUCT($U$4:$U$17,$L$4:$L$17)/100)+SUMPRODUCT($U$4:$U$17,$C$4:$C$17))*MAX(($F$3*(1+$R$3/100+SUMPRODUCT($U$4:$U$17,$R$4:$R$17)/100)+SUMPRODUCT($U$4:$U$17,$F$4:$F$17)),0.0001)*MIN(($B$3*(1+$Q$3/100+SUMPRODUCT($U$4:$U$17,$Q$4:$Q$17)/100)+SUMPRODUCT($U$4:$U$17,$B$4:$B$17)),$B$21))/(($I$3*(1+$P$3/100+SUMPRODUCT($U$4:$U$17,$P$4:$P$17)/100)*(1+0.9855*(1-($H$3*(1+$O$3/100+SUMPRODUCT($U$4:$U$17,$O$4:$O$17)/100)))))))</f>
        <v>0.987336046023878</v>
      </c>
      <c r="AA4" s="8">
        <f t="shared" ref="AA4:AA17" si="5">((($C$3*(1+$L$3/100+SUMPRODUCT($U$4:$U$17,$L$4:$L$17)/100+$L4/100)+SUMPRODUCT($U$4:$U$17,$C$4:$C$17)+$C4)*(1+$S$3/100+SUMPRODUCT($U$4:$U$17,$S$4:$S$17)/100+$S4/100)*(1+$T$3/100+SUMPRODUCT($U$4:$U$17,$T$4:$T$17)/100+$T4/100))/(($I$3*(1+$P$3/100+SUMPRODUCT($U$4:$U$17,$P$4:$P$17)/100+$P4/100)*(1+0.9855*(1-($H$3*(1+$O$3/100+SUMPRODUCT($U$4:$U$17,$O$4:$O$17)/100+$O4/100)))))))/((($C$3*(1+$L$3/100+SUMPRODUCT($U$4:$U$17,$L$4:$L$17)/100)+SUMPRODUCT($U$4:$U$17,$C$4:$C$17))*(1+$S$3/100+SUMPRODUCT($U$4:$U$17,$S$4:$S$17)/100)*(1+$T$3/100+SUMPRODUCT($U$4:$U$17,$T$4:$T$17)/100))/(($I$3*(1+$P$3/100+SUMPRODUCT($U$4:$U$17,$P$4:$P$17)/100)*(1+0.9855*(1-($H$3*(1+$O$3/100+SUMPRODUCT($U$4:$U$17,$O$4:$O$17)/100)))))))</f>
        <v>0.987336046023878</v>
      </c>
      <c r="AB4" s="8">
        <f t="shared" ref="AB4:AB17" si="6">((($C$3*(1+$L$3/100+SUMPRODUCT($U$4:$U$17,$L$4:$L$17)/100+$L4/100)+SUMPRODUCT($U$4:$U$17,$C$4:$C$17)+$C4)*(1+$S$3/100+SUMPRODUCT($U$4:$U$17,$S$4:$S$17)/100+$S4/100)*(1+$T$3/100+SUMPRODUCT($U$4:$U$17,$T$4:$T$17)/100+$T4/100)*MIN(($B$3*(1+$Q$3/100+SUMPRODUCT($U$4:$U$17,$Q$4:$Q$17)/100+$Q4/100)+SUMPRODUCT($U$4:$U$17,$B$4:$B$17)+$B4),$B$21))/(($I$3*(1+$P$3/100+SUMPRODUCT($U$4:$U$17,$P$4:$P$17)/100+$P4/100)*(1+0.9855*(1-($H$3*(1+$O$3/100+SUMPRODUCT($U$4:$U$17,$O$4:$O$17)/100+$O4/100)))))))/((($C$3*(1+$L$3/100+SUMPRODUCT($U$4:$U$17,$L$4:$L$17)/100)+SUMPRODUCT($U$4:$U$17,$C$4:$C$17))*(1+$S$3/100+SUMPRODUCT($U$4:$U$17,$S$4:$S$17)/100)*(1+$T$3/100+SUMPRODUCT($U$4:$U$17,$T$4:$T$17)/100)*MIN(($B$3*(1+$Q$3/100+SUMPRODUCT($U$4:$U$17,$Q$4:$Q$17)/100)+SUMPRODUCT($U$4:$U$17,$B$4:$B$17)),$B$21))/(($I$3*(1+$P$3/100+SUMPRODUCT($U$4:$U$17,$P$4:$P$17)/100)*(1+0.9855*(1-($H$3*(1+$O$3/100+SUMPRODUCT($U$4:$U$17,$O$4:$O$17)/100)))))))</f>
        <v>0.987336046023878</v>
      </c>
      <c r="AC4" t="str">
        <f t="shared" ref="AC4:AC17" si="7">A4</f>
        <v>增大弹药容量</v>
      </c>
    </row>
    <row r="5" spans="1:29">
      <c r="A5" t="s">
        <v>83</v>
      </c>
      <c r="B5"/>
      <c r="C5"/>
      <c r="D5"/>
      <c r="E5">
        <v>0.25</v>
      </c>
      <c r="F5"/>
      <c r="G5">
        <v>1.75</v>
      </c>
      <c r="H5"/>
      <c r="I5"/>
      <c r="J5"/>
      <c r="K5">
        <v>0.125</v>
      </c>
      <c r="L5"/>
      <c r="M5">
        <v>0.5</v>
      </c>
      <c r="N5">
        <v>0.4</v>
      </c>
      <c r="O5"/>
      <c r="P5">
        <v>1</v>
      </c>
      <c r="Q5">
        <v>-1.25</v>
      </c>
      <c r="R5"/>
      <c r="S5"/>
      <c r="T5" s="8"/>
      <c r="U5" s="9">
        <v>3</v>
      </c>
      <c r="V5" s="8">
        <f t="shared" si="0"/>
        <v>1.04919440910555</v>
      </c>
      <c r="W5" s="8">
        <f t="shared" si="1"/>
        <v>1.03954555354164</v>
      </c>
      <c r="X5" s="8">
        <f t="shared" si="2"/>
        <v>0.979794629545874</v>
      </c>
      <c r="Y5" s="8">
        <f t="shared" si="3"/>
        <v>0.988888888888889</v>
      </c>
      <c r="Z5" s="8">
        <f t="shared" si="4"/>
        <v>0.979794629545874</v>
      </c>
      <c r="AA5" s="8">
        <f t="shared" si="5"/>
        <v>0.988888888888889</v>
      </c>
      <c r="AB5" s="8">
        <f t="shared" si="6"/>
        <v>0.979794629545873</v>
      </c>
      <c r="AC5" t="str">
        <f t="shared" si="7"/>
        <v>升级发动机</v>
      </c>
    </row>
    <row r="6" spans="1:29">
      <c r="A6" t="s">
        <v>84</v>
      </c>
      <c r="B6">
        <v>30</v>
      </c>
      <c r="C6"/>
      <c r="D6"/>
      <c r="E6"/>
      <c r="F6"/>
      <c r="G6"/>
      <c r="H6"/>
      <c r="I6"/>
      <c r="J6"/>
      <c r="K6">
        <v>-0.5</v>
      </c>
      <c r="L6"/>
      <c r="M6">
        <v>-2</v>
      </c>
      <c r="N6"/>
      <c r="O6">
        <v>-1</v>
      </c>
      <c r="P6">
        <v>1</v>
      </c>
      <c r="Q6">
        <v>3</v>
      </c>
      <c r="R6"/>
      <c r="S6"/>
      <c r="T6" s="8"/>
      <c r="U6" s="9"/>
      <c r="V6" s="8">
        <f t="shared" si="0"/>
        <v>0.936437752332415</v>
      </c>
      <c r="W6" s="8">
        <f t="shared" si="1"/>
        <v>0.99098916911234</v>
      </c>
      <c r="X6" s="8">
        <f t="shared" si="2"/>
        <v>1.04321435172557</v>
      </c>
      <c r="Y6" s="8">
        <f t="shared" si="3"/>
        <v>0.98578807234175</v>
      </c>
      <c r="Z6" s="8">
        <f t="shared" si="4"/>
        <v>1.04321435172557</v>
      </c>
      <c r="AA6" s="8">
        <f t="shared" si="5"/>
        <v>0.98578807234175</v>
      </c>
      <c r="AB6" s="8">
        <f t="shared" si="6"/>
        <v>1.04321435172557</v>
      </c>
      <c r="AC6" t="str">
        <f t="shared" si="7"/>
        <v>提高燃料容量</v>
      </c>
    </row>
    <row r="7" spans="1:29">
      <c r="A7" t="s">
        <v>85</v>
      </c>
      <c r="B7"/>
      <c r="C7"/>
      <c r="D7"/>
      <c r="E7"/>
      <c r="F7"/>
      <c r="G7"/>
      <c r="H7"/>
      <c r="I7"/>
      <c r="J7"/>
      <c r="K7"/>
      <c r="L7">
        <v>1</v>
      </c>
      <c r="M7"/>
      <c r="N7"/>
      <c r="O7">
        <v>3.75</v>
      </c>
      <c r="P7">
        <v>1</v>
      </c>
      <c r="Q7"/>
      <c r="R7"/>
      <c r="S7"/>
      <c r="T7" s="8"/>
      <c r="U7" s="9">
        <v>2</v>
      </c>
      <c r="V7" s="8">
        <f t="shared" si="0"/>
        <v>1.00954845037773</v>
      </c>
      <c r="W7" s="8">
        <f t="shared" si="1"/>
        <v>1.00954845037773</v>
      </c>
      <c r="X7" s="8">
        <f t="shared" si="2"/>
        <v>1.00069276221652</v>
      </c>
      <c r="Y7" s="8">
        <f t="shared" si="3"/>
        <v>1.00954845037773</v>
      </c>
      <c r="Z7" s="8">
        <f t="shared" si="4"/>
        <v>1.00954845037773</v>
      </c>
      <c r="AA7" s="8">
        <f t="shared" si="5"/>
        <v>1.00954845037773</v>
      </c>
      <c r="AB7" s="8">
        <f t="shared" si="6"/>
        <v>1.00954845037773</v>
      </c>
      <c r="AC7" t="str">
        <f t="shared" si="7"/>
        <v>提高维护水平</v>
      </c>
    </row>
    <row r="8" spans="1:29">
      <c r="A8" t="s">
        <v>86</v>
      </c>
      <c r="B8"/>
      <c r="C8"/>
      <c r="D8"/>
      <c r="E8"/>
      <c r="F8"/>
      <c r="G8"/>
      <c r="H8"/>
      <c r="I8"/>
      <c r="J8"/>
      <c r="K8">
        <v>-0.5</v>
      </c>
      <c r="L8"/>
      <c r="M8">
        <v>-2</v>
      </c>
      <c r="N8">
        <v>-1</v>
      </c>
      <c r="O8">
        <v>-2</v>
      </c>
      <c r="P8">
        <v>2</v>
      </c>
      <c r="Q8">
        <v>-2</v>
      </c>
      <c r="R8"/>
      <c r="S8">
        <v>5</v>
      </c>
      <c r="T8" s="8"/>
      <c r="U8" s="9"/>
      <c r="V8" s="8">
        <f t="shared" si="0"/>
        <v>0.870091325887198</v>
      </c>
      <c r="W8" s="8">
        <f t="shared" si="1"/>
        <v>0.857288534781123</v>
      </c>
      <c r="X8" s="8">
        <f t="shared" si="2"/>
        <v>0.957606719090524</v>
      </c>
      <c r="Y8" s="8">
        <f t="shared" si="3"/>
        <v>0.971907667124804</v>
      </c>
      <c r="Z8" s="8">
        <f t="shared" si="4"/>
        <v>0.957606719090524</v>
      </c>
      <c r="AA8" s="8">
        <f t="shared" si="5"/>
        <v>1.019550199827</v>
      </c>
      <c r="AB8" s="8">
        <f t="shared" si="6"/>
        <v>1.00454822492829</v>
      </c>
      <c r="AC8" t="str">
        <f t="shared" si="7"/>
        <v>加强反舰武器（naval）</v>
      </c>
    </row>
    <row r="9" spans="1:29">
      <c r="A9" t="s">
        <v>87</v>
      </c>
      <c r="B9"/>
      <c r="C9"/>
      <c r="D9"/>
      <c r="E9"/>
      <c r="F9"/>
      <c r="G9"/>
      <c r="H9"/>
      <c r="I9"/>
      <c r="J9"/>
      <c r="K9">
        <v>-0.5</v>
      </c>
      <c r="L9"/>
      <c r="M9">
        <v>-2</v>
      </c>
      <c r="N9"/>
      <c r="O9">
        <v>-2</v>
      </c>
      <c r="P9">
        <v>1</v>
      </c>
      <c r="Q9">
        <v>-3</v>
      </c>
      <c r="R9">
        <v>5</v>
      </c>
      <c r="S9"/>
      <c r="T9" s="8"/>
      <c r="U9" s="9"/>
      <c r="V9" s="8">
        <f t="shared" si="0"/>
        <v>0.933510583167367</v>
      </c>
      <c r="W9" s="8">
        <f t="shared" si="1"/>
        <v>0.91290664085232</v>
      </c>
      <c r="X9" s="8">
        <f t="shared" si="2"/>
        <v>0.961016870018644</v>
      </c>
      <c r="Y9" s="8">
        <f t="shared" si="3"/>
        <v>0.982706641203968</v>
      </c>
      <c r="Z9" s="8">
        <f t="shared" si="4"/>
        <v>0.961016870018644</v>
      </c>
      <c r="AA9" s="8">
        <f t="shared" si="5"/>
        <v>0.982706641203969</v>
      </c>
      <c r="AB9" s="8">
        <f t="shared" si="6"/>
        <v>0.961016870018644</v>
      </c>
      <c r="AC9" t="str">
        <f t="shared" si="7"/>
        <v>改良火箭弹和炸弹</v>
      </c>
    </row>
    <row r="10" spans="1:29">
      <c r="A10" t="s">
        <v>88</v>
      </c>
      <c r="B10">
        <v>120</v>
      </c>
      <c r="C10"/>
      <c r="D10"/>
      <c r="E10"/>
      <c r="F10"/>
      <c r="G10"/>
      <c r="H10"/>
      <c r="I10"/>
      <c r="J10"/>
      <c r="K10">
        <v>-0.25</v>
      </c>
      <c r="L10"/>
      <c r="M10">
        <v>-1</v>
      </c>
      <c r="N10"/>
      <c r="O10">
        <v>-3</v>
      </c>
      <c r="P10">
        <v>1</v>
      </c>
      <c r="Q10">
        <v>5</v>
      </c>
      <c r="R10"/>
      <c r="S10"/>
      <c r="T10" s="8"/>
      <c r="U10" s="9">
        <v>1</v>
      </c>
      <c r="V10" s="8">
        <f t="shared" si="0"/>
        <v>0.954946284487009</v>
      </c>
      <c r="W10" s="8">
        <f t="shared" si="1"/>
        <v>1.03657669957884</v>
      </c>
      <c r="X10" s="8">
        <f t="shared" si="2"/>
        <v>1.06338606703289</v>
      </c>
      <c r="Y10" s="8">
        <f t="shared" si="3"/>
        <v>0.979644414254047</v>
      </c>
      <c r="Z10" s="8">
        <f t="shared" si="4"/>
        <v>1.06338606703289</v>
      </c>
      <c r="AA10" s="8">
        <f t="shared" si="5"/>
        <v>0.979644414254047</v>
      </c>
      <c r="AB10" s="8">
        <f t="shared" si="6"/>
        <v>1.06338606703289</v>
      </c>
      <c r="AC10" t="str">
        <f t="shared" si="7"/>
        <v>增设副油箱</v>
      </c>
    </row>
    <row r="11" spans="1:29">
      <c r="A11" t="s">
        <v>89</v>
      </c>
      <c r="B11"/>
      <c r="C11"/>
      <c r="D11">
        <v>0.5</v>
      </c>
      <c r="E11"/>
      <c r="F11">
        <v>0.1</v>
      </c>
      <c r="G11"/>
      <c r="H11"/>
      <c r="I11"/>
      <c r="J11"/>
      <c r="K11">
        <v>1.5</v>
      </c>
      <c r="L11"/>
      <c r="M11">
        <v>-1</v>
      </c>
      <c r="N11">
        <v>-0.5</v>
      </c>
      <c r="O11">
        <v>-0.5</v>
      </c>
      <c r="P11">
        <v>1</v>
      </c>
      <c r="Q11"/>
      <c r="R11">
        <v>0.75</v>
      </c>
      <c r="S11"/>
      <c r="T11" s="8"/>
      <c r="U11" s="9"/>
      <c r="V11" s="8">
        <f t="shared" si="0"/>
        <v>0.964176922753977</v>
      </c>
      <c r="W11" s="8">
        <f t="shared" si="1"/>
        <v>0.964176922753977</v>
      </c>
      <c r="X11" s="8">
        <f t="shared" si="2"/>
        <v>0.987336046023878</v>
      </c>
      <c r="Y11" s="8">
        <f t="shared" si="3"/>
        <v>987.336046023878</v>
      </c>
      <c r="Z11" s="8">
        <f t="shared" si="4"/>
        <v>987.336046023878</v>
      </c>
      <c r="AA11" s="8">
        <f t="shared" si="5"/>
        <v>0.987336046023878</v>
      </c>
      <c r="AB11" s="8">
        <f t="shared" si="6"/>
        <v>0.987336046023878</v>
      </c>
      <c r="AC11" t="str">
        <f t="shared" si="7"/>
        <v>增强对空火力</v>
      </c>
    </row>
    <row r="12" spans="1:29">
      <c r="A12" t="s">
        <v>90</v>
      </c>
      <c r="B12"/>
      <c r="C12"/>
      <c r="D12">
        <v>1</v>
      </c>
      <c r="E12"/>
      <c r="F12"/>
      <c r="G12"/>
      <c r="H12"/>
      <c r="I12"/>
      <c r="J12"/>
      <c r="K12">
        <v>5</v>
      </c>
      <c r="L12"/>
      <c r="M12">
        <v>-1</v>
      </c>
      <c r="N12">
        <v>-0.5</v>
      </c>
      <c r="O12">
        <v>-0.5</v>
      </c>
      <c r="P12">
        <v>3</v>
      </c>
      <c r="Q12"/>
      <c r="R12"/>
      <c r="S12"/>
      <c r="T12" s="8"/>
      <c r="U12" s="9"/>
      <c r="V12" s="8">
        <f t="shared" si="0"/>
        <v>0.986742686554163</v>
      </c>
      <c r="W12" s="8">
        <f t="shared" si="1"/>
        <v>0.986742686554163</v>
      </c>
      <c r="X12" s="8">
        <f t="shared" si="2"/>
        <v>0.965872218936402</v>
      </c>
      <c r="Y12" s="8">
        <f t="shared" si="3"/>
        <v>0.965872218936402</v>
      </c>
      <c r="Z12" s="8">
        <f t="shared" si="4"/>
        <v>0.965872218936403</v>
      </c>
      <c r="AA12" s="8">
        <f t="shared" si="5"/>
        <v>0.965872218936403</v>
      </c>
      <c r="AB12" s="8">
        <f t="shared" si="6"/>
        <v>0.965872218936402</v>
      </c>
      <c r="AC12" t="str">
        <f t="shared" si="7"/>
        <v>空对空火箭弹</v>
      </c>
    </row>
    <row r="13" spans="1:29">
      <c r="A13" t="s">
        <v>91</v>
      </c>
      <c r="B13"/>
      <c r="C13"/>
      <c r="D13"/>
      <c r="E13">
        <v>0.5</v>
      </c>
      <c r="F13"/>
      <c r="G13"/>
      <c r="H13"/>
      <c r="I13"/>
      <c r="J13"/>
      <c r="K13">
        <v>1</v>
      </c>
      <c r="L13"/>
      <c r="M13">
        <v>2</v>
      </c>
      <c r="N13"/>
      <c r="O13">
        <v>1.25</v>
      </c>
      <c r="P13">
        <v>1</v>
      </c>
      <c r="Q13"/>
      <c r="R13"/>
      <c r="S13"/>
      <c r="T13" s="8"/>
      <c r="U13" s="9">
        <v>1</v>
      </c>
      <c r="V13" s="8">
        <f t="shared" si="0"/>
        <v>1.07188073707028</v>
      </c>
      <c r="W13" s="8">
        <f t="shared" si="1"/>
        <v>1.07188073707028</v>
      </c>
      <c r="X13" s="8">
        <f t="shared" si="2"/>
        <v>0.992792450089675</v>
      </c>
      <c r="Y13" s="8">
        <f t="shared" si="3"/>
        <v>0.992792450089675</v>
      </c>
      <c r="Z13" s="8">
        <f t="shared" si="4"/>
        <v>0.992792450089675</v>
      </c>
      <c r="AA13" s="8">
        <f t="shared" si="5"/>
        <v>0.992792450089675</v>
      </c>
      <c r="AB13" s="8">
        <f t="shared" si="6"/>
        <v>0.992792450089675</v>
      </c>
      <c r="AC13" t="str">
        <f t="shared" si="7"/>
        <v>改良舱盖</v>
      </c>
    </row>
    <row r="14" spans="1:29">
      <c r="A14" t="s">
        <v>92</v>
      </c>
      <c r="B14"/>
      <c r="C14">
        <v>0.1</v>
      </c>
      <c r="D14">
        <v>0.25</v>
      </c>
      <c r="E14"/>
      <c r="F14"/>
      <c r="G14"/>
      <c r="H14"/>
      <c r="I14"/>
      <c r="J14"/>
      <c r="K14">
        <v>2</v>
      </c>
      <c r="L14">
        <v>1.5</v>
      </c>
      <c r="M14"/>
      <c r="N14">
        <v>-1</v>
      </c>
      <c r="O14">
        <v>-1</v>
      </c>
      <c r="P14">
        <v>1</v>
      </c>
      <c r="Q14"/>
      <c r="R14"/>
      <c r="S14"/>
      <c r="T14" s="8"/>
      <c r="U14" s="9"/>
      <c r="V14" s="8">
        <f t="shared" si="0"/>
        <v>0.968904000911694</v>
      </c>
      <c r="W14" s="8">
        <f t="shared" si="1"/>
        <v>0.968904000911694</v>
      </c>
      <c r="X14" s="8">
        <f t="shared" si="2"/>
        <v>0.98578807234175</v>
      </c>
      <c r="Y14" s="8">
        <f t="shared" si="3"/>
        <v>1.00188195756308</v>
      </c>
      <c r="Z14" s="8">
        <f t="shared" si="4"/>
        <v>1.00188195756308</v>
      </c>
      <c r="AA14" s="8">
        <f t="shared" si="5"/>
        <v>1.00188195756308</v>
      </c>
      <c r="AB14" s="8">
        <f t="shared" si="6"/>
        <v>1.00188195756308</v>
      </c>
      <c r="AC14" t="str">
        <f t="shared" si="7"/>
        <v>改良自卫炮塔</v>
      </c>
    </row>
    <row r="15" spans="1:29">
      <c r="A15" t="s">
        <v>93</v>
      </c>
      <c r="B15"/>
      <c r="C15"/>
      <c r="D15"/>
      <c r="E15">
        <v>0.1</v>
      </c>
      <c r="F15"/>
      <c r="G15">
        <v>1</v>
      </c>
      <c r="H15"/>
      <c r="I15"/>
      <c r="J15"/>
      <c r="K15">
        <v>0.5</v>
      </c>
      <c r="L15">
        <v>1</v>
      </c>
      <c r="M15">
        <v>2</v>
      </c>
      <c r="N15">
        <v>0.3</v>
      </c>
      <c r="O15">
        <v>1</v>
      </c>
      <c r="P15">
        <v>1</v>
      </c>
      <c r="Q15">
        <v>1</v>
      </c>
      <c r="R15"/>
      <c r="S15"/>
      <c r="T15" s="8"/>
      <c r="U15" s="9">
        <v>2</v>
      </c>
      <c r="V15" s="8">
        <f t="shared" si="0"/>
        <v>1.08317724096596</v>
      </c>
      <c r="W15" s="8">
        <f t="shared" si="1"/>
        <v>1.09114634233173</v>
      </c>
      <c r="X15" s="8">
        <f t="shared" si="2"/>
        <v>0.999307638983874</v>
      </c>
      <c r="Y15" s="8">
        <f t="shared" si="3"/>
        <v>1.0007881174901</v>
      </c>
      <c r="Z15" s="8">
        <f t="shared" si="4"/>
        <v>1.00815106941736</v>
      </c>
      <c r="AA15" s="8">
        <f t="shared" si="5"/>
        <v>1.0007881174901</v>
      </c>
      <c r="AB15" s="8">
        <f t="shared" si="6"/>
        <v>1.00815106941736</v>
      </c>
      <c r="AC15" t="str">
        <f t="shared" si="7"/>
        <v>改良机身</v>
      </c>
    </row>
    <row r="16" spans="1:29">
      <c r="A16" t="s">
        <v>94</v>
      </c>
      <c r="B16"/>
      <c r="C16"/>
      <c r="D16"/>
      <c r="E16"/>
      <c r="F16">
        <v>0.3</v>
      </c>
      <c r="G16"/>
      <c r="H16"/>
      <c r="I16"/>
      <c r="J16"/>
      <c r="K16"/>
      <c r="L16"/>
      <c r="M16">
        <v>-2</v>
      </c>
      <c r="N16">
        <v>-1</v>
      </c>
      <c r="O16">
        <v>-2</v>
      </c>
      <c r="P16">
        <v>2</v>
      </c>
      <c r="Q16"/>
      <c r="R16">
        <v>2</v>
      </c>
      <c r="S16"/>
      <c r="T16" s="8"/>
      <c r="U16" s="9"/>
      <c r="V16" s="8">
        <f t="shared" si="0"/>
        <v>0.874023942049399</v>
      </c>
      <c r="W16" s="8">
        <f t="shared" si="1"/>
        <v>0.874023942049399</v>
      </c>
      <c r="X16" s="8">
        <f t="shared" si="2"/>
        <v>0.971907667124804</v>
      </c>
      <c r="Y16" s="8">
        <f t="shared" si="3"/>
        <v>2915.72300137441</v>
      </c>
      <c r="Z16" s="8">
        <f t="shared" si="4"/>
        <v>2915.72300137441</v>
      </c>
      <c r="AA16" s="8">
        <f t="shared" si="5"/>
        <v>0.971907667124804</v>
      </c>
      <c r="AB16" s="8">
        <f t="shared" si="6"/>
        <v>0.971907667124804</v>
      </c>
      <c r="AC16" t="str">
        <f t="shared" si="7"/>
        <v>增强航炮对地能力</v>
      </c>
    </row>
    <row r="17" spans="1:29">
      <c r="A17" t="s">
        <v>95</v>
      </c>
      <c r="B17"/>
      <c r="C17"/>
      <c r="D17"/>
      <c r="E17"/>
      <c r="F17"/>
      <c r="G17"/>
      <c r="H17"/>
      <c r="I17"/>
      <c r="J17"/>
      <c r="K17">
        <v>-0.5</v>
      </c>
      <c r="L17"/>
      <c r="M17">
        <v>-2</v>
      </c>
      <c r="N17"/>
      <c r="O17">
        <v>-1</v>
      </c>
      <c r="P17">
        <v>2</v>
      </c>
      <c r="Q17">
        <v>-3</v>
      </c>
      <c r="R17">
        <v>3</v>
      </c>
      <c r="S17">
        <v>2</v>
      </c>
      <c r="T17" s="8"/>
      <c r="U17" s="9"/>
      <c r="V17" s="8">
        <f t="shared" si="0"/>
        <v>0.926147227581509</v>
      </c>
      <c r="W17" s="8">
        <f t="shared" si="1"/>
        <v>0.905705805281203</v>
      </c>
      <c r="X17" s="8">
        <f t="shared" si="2"/>
        <v>0.9534365500249</v>
      </c>
      <c r="Y17" s="8">
        <f t="shared" si="3"/>
        <v>0.97495523638195</v>
      </c>
      <c r="Z17" s="8">
        <f t="shared" si="4"/>
        <v>0.9534365500249</v>
      </c>
      <c r="AA17" s="8">
        <f t="shared" si="5"/>
        <v>0.994072005722773</v>
      </c>
      <c r="AB17" s="8">
        <f t="shared" si="6"/>
        <v>0.972131384339114</v>
      </c>
      <c r="AC17" t="str">
        <f t="shared" si="7"/>
        <v>加强反舰武器（cas）</v>
      </c>
    </row>
    <row r="18" spans="1:29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 s="8"/>
      <c r="U18"/>
      <c r="V18" s="8"/>
      <c r="W18" s="8"/>
      <c r="X18" s="8"/>
      <c r="Y18" s="8"/>
      <c r="Z18" s="8"/>
      <c r="AA18" s="8"/>
      <c r="AB18" s="8"/>
      <c r="AC18"/>
    </row>
    <row r="19" spans="1:29">
      <c r="A19" t="s">
        <v>96</v>
      </c>
      <c r="B19" s="10">
        <f>MIN(($B$3*(1+$Q$3/100+SUMPRODUCT($U$4:$U$17,$Q$4:$Q$17)/100)+SUMPRODUCT($U$4:$U$17,$B$4:$B$17)),$B$21)</f>
        <v>829.125</v>
      </c>
      <c r="C19" s="10">
        <f>($C$3*(1+$L$3/100+SUMPRODUCT($U$4:$U$17,$L$4:$L$17)/100)+SUMPRODUCT($U$4:$U$17,$C$4:$C$17))</f>
        <v>32.77</v>
      </c>
      <c r="D19" s="10">
        <f>($D$3*(1+$K$3/100+SUMPRODUCT($U$4:$U$17,$K$4:$K$17)/100)+SUMPRODUCT($U$4:$U$17,$D$4:$D$17))</f>
        <v>31.226125</v>
      </c>
      <c r="E19" s="10">
        <f>($E$3*(1+$M$3/100+SUMPRODUCT($U$4:$U$17,$M$4:$M$17)/100)+SUMPRODUCT($U$4:$U$17,$E$4:$E$17))</f>
        <v>59.9025</v>
      </c>
      <c r="F19" s="10">
        <f>MAX(($F$3*(1+$R$3/100+SUMPRODUCT($U$4:$U$17,$R$4:$R$17)/100)+SUMPRODUCT($U$4:$U$17,$F$4:$F$17)),0.0001)</f>
        <v>0.0001</v>
      </c>
      <c r="G19" s="10">
        <f>($G$3*(1+$N$3/100+SUMPRODUCT($U$4:$U$17,$N$4:$N$17)/100)+SUMPRODUCT($U$4:$U$17,$G$4:$G$17))</f>
        <v>908.402</v>
      </c>
      <c r="H19" s="10">
        <f>($H$3*(1+$O$3/100+SUMPRODUCT($U$4:$U$17,$O$4:$O$17)/100))</f>
        <v>0.520525</v>
      </c>
      <c r="I19" s="10">
        <f>($I$3*(1+$P$3/100+SUMPRODUCT($U$4:$U$17,$P$4:$P$17)/100))</f>
        <v>32.396</v>
      </c>
      <c r="K19" s="5" t="s">
        <v>97</v>
      </c>
      <c r="O19"/>
      <c r="P19"/>
      <c r="Q19"/>
      <c r="R19"/>
      <c r="S19"/>
      <c r="T19"/>
      <c r="U19" t="s">
        <v>98</v>
      </c>
      <c r="V19" s="11">
        <f>($D$3*(1+$K$3/100+SUMPRODUCT($U$4:$U$17,$K$4:$K$17)/100)+SUMPRODUCT($U$4:$U$17,$D$4:$D$17))*($C$3*(1+$L$3/100+SUMPRODUCT($U$4:$U$17,$L$4:$L$17)/100)+SUMPRODUCT($U$4:$U$17,$C$4:$C$17))*(MAX(-0.7-1.3*MIN($E$20/($E$3*(1+$M$3/100+SUMPRODUCT($U$4:$U$17,$M$4:$M$17)/100)+SUMPRODUCT($U$4:$U$17,$E$4:$E$17)),1.7)+3*MIN((($G$3*(1+$N$3/100+SUMPRODUCT($U$4:$U$17,$N$4:$N$17)/100)+SUMPRODUCT($U$4:$U$17,$G$4:$G$17)))/$G$20,2),0)/MAX(-0.7-1.3*MIN((($E$3*(1+$M$3/100+SUMPRODUCT($U$4:$U$17,$M$4:$M$17)/100)+SUMPRODUCT($U$4:$U$17,$E$4:$E$17)))/$E$20,1.7)+3*MIN($G$20/(($G$3*(1+$N$3/100+SUMPRODUCT($U$4:$U$17,$N$4:$N$17)/100)+SUMPRODUCT($U$4:$U$17,$G$4:$G$17))),2),0))/($I$3*(1+$P$3/100+SUMPRODUCT($U$4:$U$17,$P$4:$P$17)/100)*(1+0.9855*(1-($H$3*(1+$O$3/100+SUMPRODUCT($U$4:$U$17,$O$4:$O$17)/100)))))</f>
        <v>37.1896238636341</v>
      </c>
      <c r="W19" s="11">
        <f>($D$3*(1+$K$3/100+SUMPRODUCT($U$4:$U$17,$K$4:$K$17)/100)+SUMPRODUCT($U$4:$U$17,$D$4:$D$17))*($C$3*(1+$L$3/100+SUMPRODUCT($U$4:$U$17,$L$4:$L$17)/100)+SUMPRODUCT($U$4:$U$17,$C$4:$C$17))*(MAX(-0.7-1.3*MIN($E$20/($E$3*(1+$M$3/100+SUMPRODUCT($U$4:$U$17,$M$4:$M$17)/100)+SUMPRODUCT($U$4:$U$17,$E$4:$E$17)),1.7)+3*MIN((($G$3*(1+$N$3/100+SUMPRODUCT($U$4:$U$17,$N$4:$N$17)/100)+SUMPRODUCT($U$4:$U$17,$G$4:$G$17)))/$G$20,2),0)/MAX(-0.7-1.3*MIN((($E$3*(1+$M$3/100+SUMPRODUCT($U$4:$U$17,$M$4:$M$17)/100)+SUMPRODUCT($U$4:$U$17,$E$4:$E$17)))/$E$20,1.7)+3*MIN($G$20/(($G$3*(1+$N$3/100+SUMPRODUCT($U$4:$U$17,$N$4:$N$17)/100)+SUMPRODUCT($U$4:$U$17,$G$4:$G$17))),2),0))*MIN(($B$3*(1+$Q$3/100+SUMPRODUCT($U$4:$U$17,$Q$4:$Q$17)/100)+SUMPRODUCT($U$4:$U$17,$B$4:$B$17)),$B$21)/($I$3*(1+$P$3/100+SUMPRODUCT($U$4:$U$17,$P$4:$P$17)/100)*(1+0.9855*(1-($H$3*(1+$O$3/100+SUMPRODUCT($U$4:$U$17,$O$4:$O$17)/100)))))</f>
        <v>30834.8468859356</v>
      </c>
      <c r="X19" s="11">
        <f>MIN(($B$3*(1+$Q$3/100+SUMPRODUCT($U$4:$U$17,$Q$4:$Q$17)/100)+SUMPRODUCT($U$4:$U$17,$B$4:$B$17)),$B$21)/($I$3*(1+$P$3/100+SUMPRODUCT($U$4:$U$17,$P$4:$P$17)/100)*(1+0.9855*(1-($H$3*(1+$O$3/100+SUMPRODUCT($U$4:$U$17,$O$4:$O$17)/100)))))</f>
        <v>17.3806753418634</v>
      </c>
      <c r="Y19" s="11">
        <f>($C$3*(1+$L$3/100+SUMPRODUCT($U$4:$U$17,$L$4:$L$17)/100)+SUMPRODUCT($U$4:$U$17,$C$4:$C$17))*MAX(($F$3*(1+$R$3/100+SUMPRODUCT($U$4:$U$17,$R$4:$R$17)/100)+SUMPRODUCT($U$4:$U$17,$F$4:$F$17)),0.0001)/($I$3*(1+$P$3/100+SUMPRODUCT($U$4:$U$17,$P$4:$P$17)/100)*(1+0.9855*(1-($H$3*(1+$O$3/100+SUMPRODUCT($U$4:$U$17,$O$4:$O$17)/100)))))</f>
        <v>6.86946758272713e-5</v>
      </c>
      <c r="Z19" s="11">
        <f>($C$3*(1+$L$3/100+SUMPRODUCT($U$4:$U$17,$L$4:$L$17)/100)+SUMPRODUCT($U$4:$U$17,$C$4:$C$17))*MAX(($F$3*(1+$R$3/100+SUMPRODUCT($U$4:$U$17,$R$4:$R$17)/100)+SUMPRODUCT($U$4:$U$17,$F$4:$F$17)),0.0001)*MIN(($B$3*(1+$Q$3/100+SUMPRODUCT($U$4:$U$17,$Q$4:$Q$17)/100)+SUMPRODUCT($U$4:$U$17,$B$4:$B$17)),$B$21)/($I$3*(1+$P$3/100+SUMPRODUCT($U$4:$U$17,$P$4:$P$17)/100)*(1+0.9855*(1-($H$3*(1+$O$3/100+SUMPRODUCT($U$4:$U$17,$O$4:$O$17)/100)))))</f>
        <v>0.0569564730952863</v>
      </c>
      <c r="AA19" s="11">
        <f>($C$3*(1+$L$3/100+SUMPRODUCT($U$4:$U$17,$L$4:$L$17)/100)+SUMPRODUCT($U$4:$U$17,$C$4:$C$17))*(1+$S$3/100+SUMPRODUCT($U$4:$U$17,$S$4:$S$17)/100)*(1+$T$3/100+SUMPRODUCT($U$4:$U$17,$T$4:$T$17)/100)/($I$3*(1+$P$3/100+SUMPRODUCT($U$4:$U$17,$P$4:$P$17)/100)*(1+0.9855*(1-($H$3*(1+$O$3/100+SUMPRODUCT($U$4:$U$17,$O$4:$O$17)/100)))))</f>
        <v>0.700685693438167</v>
      </c>
      <c r="AB19" s="11">
        <f>($C$3*(1+$L$3/100+SUMPRODUCT($U$4:$U$17,$L$4:$L$17)/100)+SUMPRODUCT($U$4:$U$17,$C$4:$C$17))*(1+$S$3/100+SUMPRODUCT($U$4:$U$17,$S$4:$S$17)/100)*(1+$T$3/100+SUMPRODUCT($U$4:$U$17,$T$4:$T$17)/100)*MIN(($B$3*(1+$Q$3/100+SUMPRODUCT($U$4:$U$17,$Q$4:$Q$17)/100)+SUMPRODUCT($U$4:$U$17,$B$4:$B$17)),$B$21)/($I$3*(1+$P$3/100+SUMPRODUCT($U$4:$U$17,$P$4:$P$17)/100)*(1+0.9855*(1-($H$3*(1+$O$3/100+SUMPRODUCT($U$4:$U$17,$O$4:$O$17)/100)))))</f>
        <v>580.95602557192</v>
      </c>
      <c r="AC19"/>
    </row>
    <row r="20" spans="1:29">
      <c r="A20" t="s">
        <v>99</v>
      </c>
      <c r="B20" s="12"/>
      <c r="C20" s="12"/>
      <c r="D20" s="12"/>
      <c r="E20" s="13">
        <v>86.112</v>
      </c>
      <c r="F20" s="12"/>
      <c r="G20" s="13">
        <v>708.72375</v>
      </c>
      <c r="H20" s="12"/>
      <c r="I20" s="12"/>
      <c r="K20" s="14" t="s">
        <v>100</v>
      </c>
      <c r="M20" s="13">
        <v>79.872</v>
      </c>
      <c r="N20" s="13">
        <v>692.7375</v>
      </c>
      <c r="P20" s="12"/>
      <c r="Q20" s="12"/>
    </row>
    <row r="21" spans="1:29">
      <c r="A21" t="s">
        <v>101</v>
      </c>
      <c r="B21" s="15">
        <v>900</v>
      </c>
      <c r="E21" s="12"/>
      <c r="G21" s="12"/>
      <c r="K21" s="14" t="s">
        <v>102</v>
      </c>
      <c r="M21" s="13">
        <v>84.24</v>
      </c>
      <c r="N21" s="13">
        <v>696.9005</v>
      </c>
    </row>
    <row r="22" spans="1:29">
      <c r="A22"/>
      <c r="B22"/>
      <c r="K22" s="14" t="s">
        <v>103</v>
      </c>
      <c r="M22" s="13">
        <v>86.112</v>
      </c>
      <c r="N22" s="13">
        <v>708.72375</v>
      </c>
    </row>
    <row r="26" spans="1:29">
      <c r="B26" s="12"/>
      <c r="C26" s="12"/>
      <c r="D26" s="12"/>
      <c r="E26" s="12"/>
      <c r="F26" s="12"/>
      <c r="G26" s="12"/>
      <c r="H26" s="12"/>
      <c r="I26" s="12"/>
    </row>
  </sheetData>
  <mergeCells count="7">
    <mergeCell ref="B1:I1"/>
    <mergeCell ref="K1:T1"/>
    <mergeCell ref="V1:AB1"/>
    <mergeCell ref="K19:N19"/>
    <mergeCell ref="K20:L20"/>
    <mergeCell ref="K21:L21"/>
    <mergeCell ref="K22:L2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"/>
  <sheetViews>
    <sheetView tabSelected="1" workbookViewId="0">
      <selection activeCell="N33" sqref="N33"/>
    </sheetView>
  </sheetViews>
  <sheetFormatPr defaultColWidth="9" defaultRowHeight="14"/>
  <cols>
    <col min="1" max="1" width="42.1818181818182" style="1" customWidth="1"/>
    <col min="2" max="2" width="6.54545454545455" style="1" customWidth="1"/>
    <col min="3" max="7" width="5.54545454545455" style="1" customWidth="1"/>
    <col min="8" max="8" width="7.54545454545455" style="1" customWidth="1"/>
    <col min="9" max="10" width="5.54545454545455" style="1" customWidth="1"/>
    <col min="11" max="11" width="9.54545454545454" style="1" customWidth="1"/>
    <col min="12" max="12" width="11.8181818181818" style="1" customWidth="1"/>
    <col min="13" max="16" width="16.2727272727273" style="1" customWidth="1"/>
    <col min="17" max="17" width="9.54545454545454" style="1" customWidth="1"/>
  </cols>
  <sheetData>
    <row r="1" spans="1:16">
      <c r="A1" t="s">
        <v>104</v>
      </c>
      <c r="B1" t="s">
        <v>61</v>
      </c>
      <c r="C1" t="s">
        <v>49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105</v>
      </c>
      <c r="K1" t="s">
        <v>106</v>
      </c>
      <c r="L1" t="s">
        <v>107</v>
      </c>
      <c r="M1" s="2" t="s">
        <v>108</v>
      </c>
      <c r="N1" s="2" t="s">
        <v>109</v>
      </c>
      <c r="O1" s="2" t="s">
        <v>110</v>
      </c>
      <c r="P1" s="2" t="s">
        <v>111</v>
      </c>
    </row>
    <row r="2" spans="1:16">
      <c r="A2" t="s">
        <v>112</v>
      </c>
      <c r="B2" s="3">
        <v>610</v>
      </c>
      <c r="C2" s="3">
        <v>29</v>
      </c>
      <c r="D2" s="3">
        <v>28.1</v>
      </c>
      <c r="E2" s="3">
        <v>51.5</v>
      </c>
      <c r="F2" s="3">
        <v>0</v>
      </c>
      <c r="G2" s="3">
        <v>864</v>
      </c>
      <c r="H2" s="3">
        <v>0.47</v>
      </c>
      <c r="I2" s="3">
        <v>36.4</v>
      </c>
      <c r="J2">
        <v>1946</v>
      </c>
      <c r="K2">
        <v>7</v>
      </c>
      <c r="L2">
        <v>4</v>
      </c>
      <c r="M2" s="1"/>
      <c r="N2" s="1"/>
      <c r="O2" s="1"/>
      <c r="P2">
        <v>30834.846886</v>
      </c>
    </row>
    <row r="3" spans="1:16">
      <c r="A3" t="s">
        <v>113</v>
      </c>
      <c r="B3" s="3">
        <v>600</v>
      </c>
      <c r="C3" s="3">
        <v>26.5</v>
      </c>
      <c r="D3" s="3">
        <v>26.1</v>
      </c>
      <c r="E3" s="3">
        <v>66.5</v>
      </c>
      <c r="F3" s="3">
        <v>0</v>
      </c>
      <c r="G3" s="3">
        <v>706</v>
      </c>
      <c r="H3" s="3">
        <v>0.65</v>
      </c>
      <c r="I3" s="3">
        <v>24.6</v>
      </c>
      <c r="J3" s="4">
        <v>1946</v>
      </c>
      <c r="K3">
        <v>7</v>
      </c>
      <c r="L3">
        <v>4</v>
      </c>
      <c r="M3" s="1"/>
      <c r="N3" s="1"/>
      <c r="O3" s="1"/>
      <c r="P3">
        <v>25274.50406</v>
      </c>
    </row>
    <row r="4" spans="1:16">
      <c r="A4" t="s">
        <v>114</v>
      </c>
      <c r="B4" s="3">
        <v>745</v>
      </c>
      <c r="C4" s="3">
        <v>26.5</v>
      </c>
      <c r="D4" s="3">
        <v>25.4</v>
      </c>
      <c r="E4" s="3">
        <v>66</v>
      </c>
      <c r="F4" s="3">
        <v>0</v>
      </c>
      <c r="G4" s="3">
        <v>698</v>
      </c>
      <c r="H4" s="3">
        <v>0.65</v>
      </c>
      <c r="I4" s="3">
        <v>24.4</v>
      </c>
      <c r="J4" s="4">
        <v>1946</v>
      </c>
      <c r="K4">
        <v>7</v>
      </c>
      <c r="L4">
        <v>3</v>
      </c>
      <c r="M4" s="1"/>
      <c r="N4" s="1"/>
      <c r="O4" s="1"/>
      <c r="P4">
        <v>25004.05405</v>
      </c>
    </row>
    <row r="5" spans="1:16">
      <c r="A5" t="s">
        <v>115</v>
      </c>
      <c r="B5" s="3">
        <v>1060</v>
      </c>
      <c r="C5" s="3">
        <v>26</v>
      </c>
      <c r="D5" s="3">
        <v>29</v>
      </c>
      <c r="E5" s="3">
        <v>64</v>
      </c>
      <c r="F5" s="3">
        <v>0</v>
      </c>
      <c r="G5" s="3">
        <v>690</v>
      </c>
      <c r="H5" s="3">
        <v>0.61</v>
      </c>
      <c r="I5" s="3">
        <v>26.7</v>
      </c>
      <c r="J5" s="4">
        <v>1946</v>
      </c>
      <c r="K5">
        <v>7</v>
      </c>
      <c r="L5">
        <v>4</v>
      </c>
      <c r="M5" s="1"/>
      <c r="N5" s="1"/>
      <c r="O5" s="1"/>
      <c r="P5">
        <v>21270.12012</v>
      </c>
    </row>
    <row r="6" spans="1:16">
      <c r="A6" t="s">
        <v>116</v>
      </c>
      <c r="B6" s="3">
        <v>700</v>
      </c>
      <c r="C6" s="3">
        <v>25.5</v>
      </c>
      <c r="D6" s="3">
        <v>21.1</v>
      </c>
      <c r="E6" s="3">
        <v>65</v>
      </c>
      <c r="F6" s="3">
        <v>0</v>
      </c>
      <c r="G6" s="3">
        <v>672</v>
      </c>
      <c r="H6" s="3">
        <v>0.65</v>
      </c>
      <c r="I6" s="3">
        <v>23.9</v>
      </c>
      <c r="J6" s="4">
        <v>1944</v>
      </c>
      <c r="K6">
        <v>6</v>
      </c>
      <c r="L6">
        <v>3</v>
      </c>
      <c r="M6" s="1"/>
      <c r="N6">
        <v>21871.703128</v>
      </c>
      <c r="O6">
        <v>18320.807229</v>
      </c>
      <c r="P6">
        <v>15540.543552</v>
      </c>
    </row>
    <row r="7" spans="1:16">
      <c r="A7" t="s">
        <v>117</v>
      </c>
      <c r="B7" s="3">
        <v>545</v>
      </c>
      <c r="C7" s="3">
        <v>26</v>
      </c>
      <c r="D7" s="3">
        <v>25.7</v>
      </c>
      <c r="E7" s="3">
        <v>63.5</v>
      </c>
      <c r="F7" s="3">
        <v>0</v>
      </c>
      <c r="G7" s="3">
        <v>661</v>
      </c>
      <c r="H7" s="3">
        <v>0.61</v>
      </c>
      <c r="I7" s="3">
        <v>26.2</v>
      </c>
      <c r="J7" s="4">
        <v>1944</v>
      </c>
      <c r="K7">
        <v>7</v>
      </c>
      <c r="L7">
        <v>4</v>
      </c>
      <c r="M7" s="1"/>
      <c r="N7">
        <v>17111.718522</v>
      </c>
      <c r="O7">
        <v>14260.386203</v>
      </c>
      <c r="P7">
        <v>12017.264195</v>
      </c>
    </row>
    <row r="8" spans="1:16">
      <c r="A8" t="s">
        <v>118</v>
      </c>
      <c r="B8" s="3">
        <v>915</v>
      </c>
      <c r="C8" s="3">
        <v>24.5</v>
      </c>
      <c r="D8" s="3">
        <v>22.4</v>
      </c>
      <c r="E8" s="3">
        <v>65</v>
      </c>
      <c r="F8" s="3">
        <v>0</v>
      </c>
      <c r="G8" s="3">
        <v>670</v>
      </c>
      <c r="H8" s="3">
        <v>0.51</v>
      </c>
      <c r="I8" s="3">
        <v>27.7</v>
      </c>
      <c r="J8" s="4">
        <v>1945</v>
      </c>
      <c r="K8">
        <v>7</v>
      </c>
      <c r="L8">
        <v>4</v>
      </c>
      <c r="M8" s="1"/>
      <c r="N8" s="1"/>
      <c r="O8">
        <v>14141.230411</v>
      </c>
      <c r="P8">
        <v>11989.575526</v>
      </c>
    </row>
    <row r="9" spans="1:16">
      <c r="A9" t="s">
        <v>119</v>
      </c>
      <c r="B9" s="3">
        <v>630</v>
      </c>
      <c r="C9" s="3">
        <v>25</v>
      </c>
      <c r="D9" s="3">
        <v>24.9</v>
      </c>
      <c r="E9" s="3">
        <v>60.5</v>
      </c>
      <c r="F9" s="3">
        <v>7.5</v>
      </c>
      <c r="G9" s="3">
        <v>680</v>
      </c>
      <c r="H9" s="3">
        <v>0.55</v>
      </c>
      <c r="I9" s="3">
        <v>27.6</v>
      </c>
      <c r="J9" s="4">
        <v>1944</v>
      </c>
      <c r="K9">
        <v>7</v>
      </c>
      <c r="L9">
        <v>4</v>
      </c>
      <c r="M9" s="1"/>
      <c r="N9">
        <v>17043.531109</v>
      </c>
      <c r="O9">
        <v>14178.554558</v>
      </c>
      <c r="P9">
        <v>11926.503421</v>
      </c>
    </row>
    <row r="10" spans="1:16">
      <c r="A10" t="s">
        <v>120</v>
      </c>
      <c r="B10" s="3">
        <v>535</v>
      </c>
      <c r="C10" s="3">
        <v>26.5</v>
      </c>
      <c r="D10" s="3">
        <v>23.6</v>
      </c>
      <c r="E10" s="3">
        <v>66</v>
      </c>
      <c r="F10" s="3">
        <v>0</v>
      </c>
      <c r="G10" s="3">
        <v>646</v>
      </c>
      <c r="H10" s="3">
        <v>0.61</v>
      </c>
      <c r="I10" s="3">
        <v>23.5</v>
      </c>
      <c r="J10" s="4">
        <v>1944</v>
      </c>
      <c r="K10">
        <v>6</v>
      </c>
      <c r="L10">
        <v>3</v>
      </c>
      <c r="M10" s="1"/>
      <c r="N10">
        <v>16935.204561</v>
      </c>
      <c r="O10">
        <v>14129.053297</v>
      </c>
      <c r="P10">
        <v>11920.625841</v>
      </c>
    </row>
    <row r="11" spans="1:16">
      <c r="A11" t="s">
        <v>121</v>
      </c>
      <c r="B11" s="3">
        <v>590</v>
      </c>
      <c r="C11" s="3">
        <v>25</v>
      </c>
      <c r="D11" s="3">
        <v>21.9</v>
      </c>
      <c r="E11" s="3">
        <v>61.5</v>
      </c>
      <c r="F11" s="3">
        <v>0</v>
      </c>
      <c r="G11" s="3">
        <v>648</v>
      </c>
      <c r="H11" s="3">
        <v>0.57</v>
      </c>
      <c r="I11" s="3">
        <v>25</v>
      </c>
      <c r="J11" s="4">
        <v>1943</v>
      </c>
      <c r="K11">
        <v>6</v>
      </c>
      <c r="L11">
        <v>4</v>
      </c>
      <c r="M11">
        <v>6793.506619</v>
      </c>
      <c r="N11">
        <v>12372.010781</v>
      </c>
      <c r="O11">
        <v>10192.382044</v>
      </c>
      <c r="P11">
        <v>8477.355576</v>
      </c>
    </row>
    <row r="12" spans="1:16">
      <c r="A12" t="s">
        <v>122</v>
      </c>
      <c r="B12" s="3">
        <v>645</v>
      </c>
      <c r="C12" s="3">
        <v>25</v>
      </c>
      <c r="D12" s="3">
        <v>23.7</v>
      </c>
      <c r="E12" s="3">
        <v>63</v>
      </c>
      <c r="F12" s="3">
        <v>0</v>
      </c>
      <c r="G12" s="3">
        <v>595</v>
      </c>
      <c r="H12" s="3">
        <v>0.65</v>
      </c>
      <c r="I12" s="3">
        <v>23</v>
      </c>
      <c r="J12" s="4">
        <v>1943</v>
      </c>
      <c r="K12">
        <v>5</v>
      </c>
      <c r="L12">
        <v>3</v>
      </c>
      <c r="M12">
        <v>5235.071691</v>
      </c>
      <c r="N12">
        <v>10373.089665</v>
      </c>
      <c r="O12">
        <v>8261.790394</v>
      </c>
      <c r="P12">
        <v>6613.709352</v>
      </c>
    </row>
    <row r="13" spans="1:16">
      <c r="A13" t="s">
        <v>123</v>
      </c>
      <c r="B13" s="3">
        <v>605</v>
      </c>
      <c r="C13" s="3">
        <v>24</v>
      </c>
      <c r="D13" s="3">
        <v>20.4</v>
      </c>
      <c r="E13" s="3">
        <v>59</v>
      </c>
      <c r="F13" s="3">
        <v>4</v>
      </c>
      <c r="G13" s="3">
        <v>591</v>
      </c>
      <c r="H13" s="3">
        <v>0.59</v>
      </c>
      <c r="I13" s="3">
        <v>24.3</v>
      </c>
      <c r="J13" s="4">
        <v>1943</v>
      </c>
      <c r="K13">
        <v>5</v>
      </c>
      <c r="L13">
        <v>3</v>
      </c>
      <c r="M13">
        <v>2413.579494</v>
      </c>
      <c r="N13">
        <v>5550.096634</v>
      </c>
      <c r="O13">
        <v>4196.476792</v>
      </c>
      <c r="P13">
        <v>3160.333785</v>
      </c>
    </row>
    <row r="14" spans="1:16">
      <c r="A14" t="s">
        <v>124</v>
      </c>
      <c r="B14" s="3">
        <v>660</v>
      </c>
      <c r="C14" s="3">
        <v>25</v>
      </c>
      <c r="D14" s="3">
        <v>21</v>
      </c>
      <c r="E14" s="3">
        <v>63.5</v>
      </c>
      <c r="F14" s="3">
        <v>0</v>
      </c>
      <c r="G14" s="3">
        <v>599</v>
      </c>
      <c r="H14" s="3">
        <v>0.65</v>
      </c>
      <c r="I14" s="3">
        <v>22.7</v>
      </c>
      <c r="J14" s="4">
        <v>1942</v>
      </c>
      <c r="K14">
        <v>5</v>
      </c>
      <c r="L14">
        <v>3</v>
      </c>
      <c r="M14">
        <v>5270.818798</v>
      </c>
      <c r="N14">
        <v>10185.399866</v>
      </c>
      <c r="O14">
        <v>8178.832031</v>
      </c>
      <c r="P14"/>
    </row>
    <row r="15" spans="1:16">
      <c r="A15" t="s">
        <v>125</v>
      </c>
      <c r="B15" s="3">
        <v>610</v>
      </c>
      <c r="C15" s="3">
        <v>25</v>
      </c>
      <c r="D15" s="3">
        <v>21.8</v>
      </c>
      <c r="E15" s="3">
        <v>61</v>
      </c>
      <c r="F15" s="3">
        <v>0</v>
      </c>
      <c r="G15" s="3">
        <v>580</v>
      </c>
      <c r="H15" s="3">
        <v>0.55</v>
      </c>
      <c r="I15" s="3">
        <v>24.8</v>
      </c>
      <c r="J15" s="4">
        <v>1942</v>
      </c>
      <c r="K15">
        <v>6</v>
      </c>
      <c r="L15">
        <v>4</v>
      </c>
      <c r="M15">
        <v>2580.14743</v>
      </c>
      <c r="N15">
        <v>5795.281627</v>
      </c>
      <c r="O15">
        <v>4410.834981</v>
      </c>
      <c r="P15"/>
    </row>
    <row r="16" spans="1:16">
      <c r="A16" t="s">
        <v>126</v>
      </c>
      <c r="B16" s="3">
        <v>695</v>
      </c>
      <c r="C16" s="3">
        <v>24</v>
      </c>
      <c r="D16" s="3">
        <v>18.6</v>
      </c>
      <c r="E16" s="3">
        <v>59</v>
      </c>
      <c r="F16" s="3">
        <v>0</v>
      </c>
      <c r="G16" s="3">
        <v>639</v>
      </c>
      <c r="H16" s="3">
        <v>0.53</v>
      </c>
      <c r="I16" s="3">
        <v>26.1</v>
      </c>
      <c r="J16" s="4">
        <v>1941</v>
      </c>
      <c r="K16">
        <v>5</v>
      </c>
      <c r="L16">
        <v>3</v>
      </c>
      <c r="M16">
        <v>4687.986338</v>
      </c>
      <c r="N16">
        <v>8499.868393</v>
      </c>
      <c r="O16"/>
      <c r="P16"/>
    </row>
    <row r="17" spans="1:16">
      <c r="A17" t="s">
        <v>127</v>
      </c>
      <c r="B17" s="3">
        <v>655</v>
      </c>
      <c r="C17" s="3">
        <v>23.5</v>
      </c>
      <c r="D17" s="3">
        <v>21.3</v>
      </c>
      <c r="E17" s="3">
        <v>60.5</v>
      </c>
      <c r="F17" s="3">
        <v>4</v>
      </c>
      <c r="G17" s="3">
        <v>615</v>
      </c>
      <c r="H17" s="3">
        <v>0.45</v>
      </c>
      <c r="I17" s="3">
        <v>25.6</v>
      </c>
      <c r="J17" s="4">
        <v>1941</v>
      </c>
      <c r="K17">
        <v>6</v>
      </c>
      <c r="L17">
        <v>3</v>
      </c>
      <c r="M17">
        <v>3880.709966</v>
      </c>
      <c r="N17">
        <v>7505.40825</v>
      </c>
      <c r="O17"/>
      <c r="P17"/>
    </row>
    <row r="18" spans="1:16">
      <c r="A18" t="s">
        <v>128</v>
      </c>
      <c r="B18" s="3">
        <v>535</v>
      </c>
      <c r="C18" s="3">
        <v>25.5</v>
      </c>
      <c r="D18" s="3">
        <v>20.1</v>
      </c>
      <c r="E18" s="3">
        <v>60.5</v>
      </c>
      <c r="F18" s="3">
        <v>0</v>
      </c>
      <c r="G18" s="3">
        <v>571</v>
      </c>
      <c r="H18" s="3">
        <v>0.63</v>
      </c>
      <c r="I18" s="3">
        <v>22.6</v>
      </c>
      <c r="J18" s="4">
        <v>1941</v>
      </c>
      <c r="K18">
        <v>5</v>
      </c>
      <c r="L18">
        <v>3</v>
      </c>
      <c r="M18">
        <v>1941.38064</v>
      </c>
      <c r="N18">
        <v>4892.793693</v>
      </c>
      <c r="O18"/>
      <c r="P18"/>
    </row>
    <row r="19" spans="1:16">
      <c r="A19" t="s">
        <v>129</v>
      </c>
      <c r="B19" s="3">
        <v>580</v>
      </c>
      <c r="C19" s="3">
        <v>24</v>
      </c>
      <c r="D19" s="3">
        <v>20.4</v>
      </c>
      <c r="E19" s="3">
        <v>59.5</v>
      </c>
      <c r="F19" s="3">
        <v>0</v>
      </c>
      <c r="G19" s="3">
        <v>575</v>
      </c>
      <c r="H19" s="3">
        <v>0.55</v>
      </c>
      <c r="I19" s="3">
        <v>23.9</v>
      </c>
      <c r="J19" s="4">
        <v>1941</v>
      </c>
      <c r="K19">
        <v>5</v>
      </c>
      <c r="L19">
        <v>3</v>
      </c>
      <c r="M19">
        <v>1728.38753</v>
      </c>
      <c r="N19">
        <v>4382.160878</v>
      </c>
      <c r="O19"/>
      <c r="P19"/>
    </row>
    <row r="20" spans="1:16">
      <c r="A20" t="s">
        <v>130</v>
      </c>
      <c r="B20" s="3">
        <v>655</v>
      </c>
      <c r="C20" s="3">
        <v>22.5</v>
      </c>
      <c r="D20" s="3">
        <v>21.2</v>
      </c>
      <c r="E20" s="3">
        <v>60</v>
      </c>
      <c r="F20" s="3">
        <v>4</v>
      </c>
      <c r="G20" s="3">
        <v>575</v>
      </c>
      <c r="H20" s="3">
        <v>0.45</v>
      </c>
      <c r="I20" s="3">
        <v>25.1</v>
      </c>
      <c r="J20" s="4">
        <v>1940</v>
      </c>
      <c r="K20">
        <v>6</v>
      </c>
      <c r="L20">
        <v>3</v>
      </c>
      <c r="M20">
        <v>1803.035298</v>
      </c>
      <c r="N20"/>
      <c r="O20"/>
      <c r="P20"/>
    </row>
    <row r="21" spans="1:16">
      <c r="A21" t="s">
        <v>131</v>
      </c>
      <c r="B21" s="3">
        <v>505</v>
      </c>
      <c r="C21" s="3">
        <v>24</v>
      </c>
      <c r="D21" s="3">
        <v>17.6</v>
      </c>
      <c r="E21" s="3">
        <v>50.5</v>
      </c>
      <c r="F21" s="3">
        <v>0</v>
      </c>
      <c r="G21" s="3">
        <v>657</v>
      </c>
      <c r="H21" s="3">
        <v>0.45</v>
      </c>
      <c r="I21" s="3">
        <v>26.1</v>
      </c>
      <c r="J21" s="4">
        <v>1940</v>
      </c>
      <c r="K21">
        <v>5</v>
      </c>
      <c r="L21">
        <v>3</v>
      </c>
      <c r="M21">
        <v>1755.410777</v>
      </c>
      <c r="N21"/>
      <c r="O21"/>
      <c r="P21"/>
    </row>
    <row r="22" spans="1:16">
      <c r="A22" t="s">
        <v>132</v>
      </c>
      <c r="B22" s="3">
        <v>560</v>
      </c>
      <c r="C22" s="3">
        <v>24.5</v>
      </c>
      <c r="D22" s="3">
        <v>19.9</v>
      </c>
      <c r="E22" s="3">
        <v>59</v>
      </c>
      <c r="F22" s="3">
        <v>0</v>
      </c>
      <c r="G22" s="3">
        <v>569</v>
      </c>
      <c r="H22" s="3">
        <v>0.61</v>
      </c>
      <c r="I22" s="3">
        <v>22.6</v>
      </c>
      <c r="J22" s="4">
        <v>1940</v>
      </c>
      <c r="K22">
        <v>5</v>
      </c>
      <c r="L22">
        <v>3</v>
      </c>
      <c r="M22">
        <v>1462.848067</v>
      </c>
      <c r="N22"/>
      <c r="O22"/>
      <c r="P22"/>
    </row>
    <row r="23" spans="1:16">
      <c r="A23" t="s">
        <v>133</v>
      </c>
      <c r="B23" s="3">
        <v>520</v>
      </c>
      <c r="C23" s="3">
        <v>23.5</v>
      </c>
      <c r="D23" s="3">
        <v>19.4</v>
      </c>
      <c r="E23" s="3">
        <v>55</v>
      </c>
      <c r="F23" s="3">
        <v>0</v>
      </c>
      <c r="G23" s="3">
        <v>605</v>
      </c>
      <c r="H23" s="3">
        <v>0.45</v>
      </c>
      <c r="I23" s="3">
        <v>24.2</v>
      </c>
      <c r="J23" s="4">
        <v>1940</v>
      </c>
      <c r="K23">
        <v>5</v>
      </c>
      <c r="L23">
        <v>3</v>
      </c>
      <c r="M23">
        <v>1404.482879</v>
      </c>
      <c r="N23"/>
      <c r="O23"/>
      <c r="P23"/>
    </row>
    <row r="24" spans="1:16">
      <c r="A24" t="s">
        <v>134</v>
      </c>
      <c r="B24" s="3">
        <v>560</v>
      </c>
      <c r="C24" s="3">
        <v>19.5</v>
      </c>
      <c r="D24" s="3">
        <v>18.4</v>
      </c>
      <c r="E24" s="3">
        <v>57</v>
      </c>
      <c r="F24" s="3">
        <v>3.7</v>
      </c>
      <c r="G24" s="3">
        <v>465</v>
      </c>
      <c r="H24" s="3">
        <v>0.65</v>
      </c>
      <c r="I24" s="3">
        <v>22.7</v>
      </c>
      <c r="J24" s="4">
        <v>1939</v>
      </c>
      <c r="K24">
        <v>5</v>
      </c>
      <c r="L24">
        <v>3</v>
      </c>
      <c r="M24"/>
      <c r="N24"/>
      <c r="O24"/>
      <c r="P24"/>
    </row>
    <row r="25" spans="1:16">
      <c r="A25" t="s">
        <v>135</v>
      </c>
      <c r="B25" s="3">
        <v>450</v>
      </c>
      <c r="C25" s="3">
        <v>19.5</v>
      </c>
      <c r="D25" s="3">
        <v>18.1</v>
      </c>
      <c r="E25" s="3">
        <v>59</v>
      </c>
      <c r="F25" s="3">
        <v>0</v>
      </c>
      <c r="G25" s="3">
        <v>444</v>
      </c>
      <c r="H25" s="3">
        <v>0.65</v>
      </c>
      <c r="I25" s="3">
        <v>18.7</v>
      </c>
      <c r="J25" s="4">
        <v>1938</v>
      </c>
      <c r="K25">
        <v>4</v>
      </c>
      <c r="L25">
        <v>3</v>
      </c>
      <c r="M25"/>
      <c r="N25"/>
      <c r="O25"/>
      <c r="P25"/>
    </row>
    <row r="26" spans="1:16">
      <c r="A26" t="s">
        <v>136</v>
      </c>
      <c r="B26" s="3">
        <v>560</v>
      </c>
      <c r="C26" s="3">
        <v>19.5</v>
      </c>
      <c r="D26" s="3">
        <v>17.9</v>
      </c>
      <c r="E26" s="3">
        <v>57</v>
      </c>
      <c r="F26" s="3">
        <v>0</v>
      </c>
      <c r="G26" s="3">
        <v>469</v>
      </c>
      <c r="H26" s="3">
        <v>0.65</v>
      </c>
      <c r="I26" s="3">
        <v>22.6</v>
      </c>
      <c r="J26" s="4">
        <v>1938</v>
      </c>
      <c r="K26">
        <v>5</v>
      </c>
      <c r="L26">
        <v>3</v>
      </c>
      <c r="M26"/>
      <c r="N26"/>
      <c r="O26"/>
      <c r="P26"/>
    </row>
    <row r="27" spans="1:16">
      <c r="A27" t="s">
        <v>137</v>
      </c>
      <c r="B27" s="3">
        <v>475</v>
      </c>
      <c r="C27" s="3">
        <v>18</v>
      </c>
      <c r="D27" s="3">
        <v>15.5</v>
      </c>
      <c r="E27" s="3">
        <v>58</v>
      </c>
      <c r="F27" s="3">
        <v>0</v>
      </c>
      <c r="G27" s="3">
        <v>380</v>
      </c>
      <c r="H27" s="3">
        <v>0.65</v>
      </c>
      <c r="I27" s="3">
        <v>18.5</v>
      </c>
      <c r="J27" s="4">
        <v>1937</v>
      </c>
      <c r="K27">
        <v>4</v>
      </c>
      <c r="L27">
        <v>2</v>
      </c>
      <c r="M27"/>
      <c r="N27"/>
      <c r="O27"/>
      <c r="P27"/>
    </row>
    <row r="28" spans="1:16">
      <c r="A28" t="s">
        <v>138</v>
      </c>
      <c r="B28" s="3">
        <v>475</v>
      </c>
      <c r="C28" s="3">
        <v>19</v>
      </c>
      <c r="D28" s="3">
        <v>17.6</v>
      </c>
      <c r="E28" s="3">
        <v>54</v>
      </c>
      <c r="F28" s="3">
        <v>0</v>
      </c>
      <c r="G28" s="3">
        <v>447</v>
      </c>
      <c r="H28" s="3">
        <v>0.65</v>
      </c>
      <c r="I28" s="3">
        <v>21.9</v>
      </c>
      <c r="J28" s="4">
        <v>1937</v>
      </c>
      <c r="K28">
        <v>5</v>
      </c>
      <c r="L28">
        <v>2</v>
      </c>
      <c r="M28"/>
      <c r="N28"/>
      <c r="O28"/>
      <c r="P28"/>
    </row>
    <row r="29" spans="1:16">
      <c r="A29" t="s">
        <v>139</v>
      </c>
      <c r="B29" s="3">
        <v>470</v>
      </c>
      <c r="C29" s="3">
        <v>18</v>
      </c>
      <c r="D29" s="3">
        <v>15.5</v>
      </c>
      <c r="E29" s="3">
        <v>57.5</v>
      </c>
      <c r="F29" s="3">
        <v>0</v>
      </c>
      <c r="G29" s="3">
        <v>367</v>
      </c>
      <c r="H29" s="3">
        <v>0.61</v>
      </c>
      <c r="I29" s="3">
        <v>18.5</v>
      </c>
      <c r="J29" s="4">
        <v>1936</v>
      </c>
      <c r="K29">
        <v>4</v>
      </c>
      <c r="L29">
        <v>2</v>
      </c>
      <c r="M29"/>
      <c r="N29"/>
      <c r="O29"/>
      <c r="P29"/>
    </row>
    <row r="30" spans="1:16">
      <c r="A30" t="s">
        <v>140</v>
      </c>
      <c r="B30" s="3">
        <v>490</v>
      </c>
      <c r="C30" s="3">
        <v>19</v>
      </c>
      <c r="D30" s="3">
        <v>15.4</v>
      </c>
      <c r="E30" s="3">
        <v>55</v>
      </c>
      <c r="F30" s="3">
        <v>0</v>
      </c>
      <c r="G30" s="3">
        <v>444</v>
      </c>
      <c r="H30" s="3">
        <v>0.65</v>
      </c>
      <c r="I30" s="3">
        <v>21.8</v>
      </c>
      <c r="J30" s="4">
        <v>1936</v>
      </c>
      <c r="K30">
        <v>5</v>
      </c>
      <c r="L30">
        <v>2</v>
      </c>
      <c r="M30"/>
      <c r="N30"/>
      <c r="O30"/>
      <c r="P30"/>
    </row>
    <row r="31" spans="1:16">
      <c r="A31" t="s">
        <v>141</v>
      </c>
      <c r="B31" s="3">
        <v>465</v>
      </c>
      <c r="C31" s="3">
        <v>19.5</v>
      </c>
      <c r="D31" s="3">
        <v>15.7</v>
      </c>
      <c r="E31" s="3">
        <v>53.5</v>
      </c>
      <c r="F31" s="3">
        <v>0</v>
      </c>
      <c r="G31" s="3">
        <v>372</v>
      </c>
      <c r="H31" s="3">
        <v>0.45</v>
      </c>
      <c r="I31" s="3">
        <v>19.5</v>
      </c>
      <c r="J31" s="4">
        <v>1935</v>
      </c>
      <c r="K31">
        <v>4</v>
      </c>
      <c r="L31">
        <v>2</v>
      </c>
      <c r="M31"/>
      <c r="N31"/>
      <c r="O31"/>
      <c r="P31"/>
    </row>
    <row r="32" spans="1:16">
      <c r="A32" t="s">
        <v>142</v>
      </c>
      <c r="B32" s="3">
        <v>465</v>
      </c>
      <c r="C32" s="3">
        <v>18</v>
      </c>
      <c r="D32" s="3">
        <v>15.3</v>
      </c>
      <c r="E32" s="3">
        <v>55.5</v>
      </c>
      <c r="F32" s="3">
        <v>0</v>
      </c>
      <c r="G32" s="3">
        <v>350</v>
      </c>
      <c r="H32" s="3">
        <v>0.55</v>
      </c>
      <c r="I32" s="3">
        <v>18.2</v>
      </c>
      <c r="J32" s="4">
        <v>1935</v>
      </c>
      <c r="K32">
        <v>4</v>
      </c>
      <c r="L32">
        <v>2</v>
      </c>
      <c r="M32"/>
      <c r="N32"/>
      <c r="O32"/>
      <c r="P32"/>
    </row>
    <row r="33" spans="1:16">
      <c r="A33" t="s">
        <v>143</v>
      </c>
      <c r="B33" s="3">
        <v>515</v>
      </c>
      <c r="C33" s="3">
        <v>18.5</v>
      </c>
      <c r="D33" s="3">
        <v>15.2</v>
      </c>
      <c r="E33" s="3">
        <v>53</v>
      </c>
      <c r="F33" s="3">
        <v>0</v>
      </c>
      <c r="G33" s="3">
        <v>405</v>
      </c>
      <c r="H33" s="3">
        <v>0.65</v>
      </c>
      <c r="I33" s="3">
        <v>21.5</v>
      </c>
      <c r="J33" s="4">
        <v>1935</v>
      </c>
      <c r="K33">
        <v>5</v>
      </c>
      <c r="L33">
        <v>2</v>
      </c>
      <c r="M33"/>
      <c r="N33"/>
      <c r="O33"/>
      <c r="P33"/>
    </row>
    <row r="34" spans="1:16">
      <c r="A34" t="s">
        <v>144</v>
      </c>
      <c r="B34" s="3">
        <v>560</v>
      </c>
      <c r="C34" s="3">
        <v>19.5</v>
      </c>
      <c r="D34" s="3">
        <v>13.8</v>
      </c>
      <c r="E34" s="3">
        <v>53</v>
      </c>
      <c r="F34" s="3">
        <v>0</v>
      </c>
      <c r="G34" s="3">
        <v>291</v>
      </c>
      <c r="H34" s="3">
        <v>0.65</v>
      </c>
      <c r="I34" s="3">
        <v>18.5</v>
      </c>
      <c r="J34" s="4">
        <v>1932</v>
      </c>
      <c r="K34">
        <v>4</v>
      </c>
      <c r="L34">
        <v>2</v>
      </c>
      <c r="M34"/>
      <c r="N34"/>
      <c r="O34"/>
      <c r="P34"/>
    </row>
    <row r="35" spans="1:16">
      <c r="A35" t="s">
        <v>145</v>
      </c>
      <c r="B35" s="3">
        <v>540</v>
      </c>
      <c r="C35" s="3">
        <v>18</v>
      </c>
      <c r="D35" s="3">
        <v>14</v>
      </c>
      <c r="E35" s="3">
        <v>55</v>
      </c>
      <c r="F35" s="3">
        <v>0</v>
      </c>
      <c r="G35" s="3">
        <v>278</v>
      </c>
      <c r="H35" s="3">
        <v>0.65</v>
      </c>
      <c r="I35" s="3">
        <v>18</v>
      </c>
      <c r="J35" s="4">
        <v>1931</v>
      </c>
      <c r="K35">
        <v>4</v>
      </c>
      <c r="L35">
        <v>2</v>
      </c>
      <c r="M35"/>
      <c r="N35"/>
      <c r="O35"/>
      <c r="P35"/>
    </row>
  </sheetData>
  <autoFilter xmlns:etc="http://www.wps.cn/officeDocument/2017/etCustomData" ref="A1:P35" etc:filterBottomFollowUsedRange="0">
    <sortState ref="A2:P35">
      <sortCondition ref="P1" descending="1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42.6.1</vt:lpstr>
      <vt:lpstr>41.6.11</vt:lpstr>
      <vt:lpstr>36.9.1</vt:lpstr>
      <vt:lpstr>飞机改装</vt:lpstr>
      <vt:lpstr>SOV战斗机数据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zhiyijie</cp:lastModifiedBy>
  <dcterms:created xsi:type="dcterms:W3CDTF">2026-10-08T14:30:00Z</dcterms:created>
  <dcterms:modified xsi:type="dcterms:W3CDTF">2026-10-08T15:21:45Z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E9B9A9ACC16442DCAE41FDB3D6A4F7B1_12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